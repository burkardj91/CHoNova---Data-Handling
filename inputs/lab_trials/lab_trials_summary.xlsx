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cuments\CHoNova _ Data Understanding\inputs\lab_trials\"/>
    </mc:Choice>
  </mc:AlternateContent>
  <xr:revisionPtr revIDLastSave="0" documentId="13_ncr:1_{43B3D44A-B01C-4509-A256-FBE0AC2CE1B4}" xr6:coauthVersionLast="47" xr6:coauthVersionMax="47" xr10:uidLastSave="{00000000-0000-0000-0000-000000000000}"/>
  <bookViews>
    <workbookView xWindow="-108" yWindow="-108" windowWidth="23256" windowHeight="13896" xr2:uid="{6F8A2A96-6E21-49EA-8634-FD8A622F0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8" i="1" l="1"/>
  <c r="D88" i="1"/>
  <c r="C88" i="1"/>
  <c r="O88" i="1" s="1"/>
  <c r="B88" i="1"/>
  <c r="Q88" i="1" s="1"/>
  <c r="Q87" i="1"/>
  <c r="P87" i="1"/>
  <c r="O87" i="1"/>
  <c r="N87" i="1"/>
  <c r="M87" i="1"/>
  <c r="L87" i="1"/>
  <c r="Q86" i="1"/>
  <c r="P86" i="1"/>
  <c r="O86" i="1"/>
  <c r="N86" i="1"/>
  <c r="M86" i="1"/>
  <c r="L86" i="1"/>
  <c r="Q85" i="1"/>
  <c r="P85" i="1"/>
  <c r="O85" i="1"/>
  <c r="N85" i="1"/>
  <c r="M85" i="1"/>
  <c r="L85" i="1"/>
  <c r="Q84" i="1"/>
  <c r="P84" i="1"/>
  <c r="O84" i="1"/>
  <c r="N84" i="1"/>
  <c r="M84" i="1"/>
  <c r="L84" i="1"/>
  <c r="Q83" i="1"/>
  <c r="P83" i="1"/>
  <c r="O83" i="1"/>
  <c r="N83" i="1"/>
  <c r="M83" i="1"/>
  <c r="L83" i="1"/>
  <c r="Q82" i="1"/>
  <c r="P82" i="1"/>
  <c r="O82" i="1"/>
  <c r="N82" i="1"/>
  <c r="M82" i="1"/>
  <c r="L82" i="1"/>
  <c r="N66" i="1"/>
  <c r="I66" i="1"/>
  <c r="H66" i="1"/>
  <c r="G66" i="1"/>
  <c r="F66" i="1"/>
  <c r="E66" i="1"/>
  <c r="D66" i="1"/>
  <c r="M66" i="1" s="1"/>
  <c r="C66" i="1"/>
  <c r="Q66" i="1" s="1"/>
  <c r="B66" i="1"/>
  <c r="Q65" i="1"/>
  <c r="P65" i="1"/>
  <c r="O65" i="1"/>
  <c r="N65" i="1"/>
  <c r="M65" i="1"/>
  <c r="L65" i="1"/>
  <c r="Q64" i="1"/>
  <c r="P64" i="1"/>
  <c r="O64" i="1"/>
  <c r="N64" i="1"/>
  <c r="M64" i="1"/>
  <c r="L64" i="1"/>
  <c r="Q63" i="1"/>
  <c r="P63" i="1"/>
  <c r="O63" i="1"/>
  <c r="N63" i="1"/>
  <c r="M63" i="1"/>
  <c r="L63" i="1"/>
  <c r="Q62" i="1"/>
  <c r="P62" i="1"/>
  <c r="O62" i="1"/>
  <c r="N62" i="1"/>
  <c r="M62" i="1"/>
  <c r="L62" i="1"/>
  <c r="Q61" i="1"/>
  <c r="P61" i="1"/>
  <c r="O61" i="1"/>
  <c r="N61" i="1"/>
  <c r="M61" i="1"/>
  <c r="L61" i="1"/>
  <c r="Q60" i="1"/>
  <c r="P60" i="1"/>
  <c r="O60" i="1"/>
  <c r="N60" i="1"/>
  <c r="M60" i="1"/>
  <c r="L60" i="1"/>
  <c r="G43" i="1"/>
  <c r="F43" i="1"/>
  <c r="E43" i="1"/>
  <c r="D43" i="1"/>
  <c r="M43" i="1" s="1"/>
  <c r="C43" i="1"/>
  <c r="Q43" i="1" s="1"/>
  <c r="B43" i="1"/>
  <c r="Q42" i="1"/>
  <c r="P42" i="1"/>
  <c r="O42" i="1"/>
  <c r="N42" i="1"/>
  <c r="M42" i="1"/>
  <c r="L42" i="1"/>
  <c r="Q41" i="1"/>
  <c r="P41" i="1"/>
  <c r="O41" i="1"/>
  <c r="N41" i="1"/>
  <c r="M41" i="1"/>
  <c r="L41" i="1"/>
  <c r="Q40" i="1"/>
  <c r="P40" i="1"/>
  <c r="O40" i="1"/>
  <c r="N40" i="1"/>
  <c r="M40" i="1"/>
  <c r="L40" i="1"/>
  <c r="Q39" i="1"/>
  <c r="P39" i="1"/>
  <c r="O39" i="1"/>
  <c r="N39" i="1"/>
  <c r="M39" i="1"/>
  <c r="L39" i="1"/>
  <c r="Q38" i="1"/>
  <c r="P38" i="1"/>
  <c r="O38" i="1"/>
  <c r="N38" i="1"/>
  <c r="M38" i="1"/>
  <c r="L38" i="1"/>
  <c r="Q37" i="1"/>
  <c r="P37" i="1"/>
  <c r="O37" i="1"/>
  <c r="N37" i="1"/>
  <c r="M37" i="1"/>
  <c r="L37" i="1"/>
  <c r="G21" i="1"/>
  <c r="F21" i="1"/>
  <c r="E21" i="1"/>
  <c r="D21" i="1"/>
  <c r="M21" i="1" s="1"/>
  <c r="C21" i="1"/>
  <c r="Q21" i="1" s="1"/>
  <c r="B21" i="1"/>
  <c r="Q20" i="1"/>
  <c r="P20" i="1"/>
  <c r="O20" i="1"/>
  <c r="N20" i="1"/>
  <c r="M20" i="1"/>
  <c r="L20" i="1"/>
  <c r="Q19" i="1"/>
  <c r="P19" i="1"/>
  <c r="O19" i="1"/>
  <c r="N19" i="1"/>
  <c r="M19" i="1"/>
  <c r="L19" i="1"/>
  <c r="Q18" i="1"/>
  <c r="P18" i="1"/>
  <c r="O18" i="1"/>
  <c r="N18" i="1"/>
  <c r="M18" i="1"/>
  <c r="L18" i="1"/>
  <c r="Q17" i="1"/>
  <c r="P17" i="1"/>
  <c r="O17" i="1"/>
  <c r="N17" i="1"/>
  <c r="M17" i="1"/>
  <c r="L17" i="1"/>
  <c r="Q16" i="1"/>
  <c r="P16" i="1"/>
  <c r="O16" i="1"/>
  <c r="N16" i="1"/>
  <c r="M16" i="1"/>
  <c r="L16" i="1"/>
  <c r="Q15" i="1"/>
  <c r="P15" i="1"/>
  <c r="O15" i="1"/>
  <c r="N15" i="1"/>
  <c r="M15" i="1"/>
  <c r="L15" i="1"/>
  <c r="L21" i="1" l="1"/>
  <c r="L43" i="1"/>
  <c r="L88" i="1"/>
  <c r="M88" i="1"/>
  <c r="N21" i="1"/>
  <c r="N43" i="1"/>
  <c r="L66" i="1"/>
  <c r="N88" i="1"/>
  <c r="O21" i="1"/>
  <c r="O43" i="1"/>
  <c r="P21" i="1"/>
  <c r="P43" i="1"/>
  <c r="P88" i="1"/>
  <c r="O66" i="1"/>
  <c r="P66" i="1"/>
</calcChain>
</file>

<file path=xl/sharedStrings.xml><?xml version="1.0" encoding="utf-8"?>
<sst xmlns="http://schemas.openxmlformats.org/spreadsheetml/2006/main" count="211" uniqueCount="50">
  <si>
    <t>Dataset</t>
  </si>
  <si>
    <t>2455_a5/a6/a7</t>
  </si>
  <si>
    <t>Temperature Monitoring</t>
  </si>
  <si>
    <t>Chocolate Type</t>
  </si>
  <si>
    <t>0.1A, Dark Chocolate</t>
  </si>
  <si>
    <t>T3</t>
  </si>
  <si>
    <t>T4</t>
  </si>
  <si>
    <t>Tempering</t>
  </si>
  <si>
    <t>Stella 0,2 - 0,4 undertempered</t>
  </si>
  <si>
    <t>Cryst. Onset</t>
  </si>
  <si>
    <t>2455_a5</t>
  </si>
  <si>
    <t>Cooling</t>
  </si>
  <si>
    <t>Simulator 15-12-15 standard</t>
  </si>
  <si>
    <t>2455_a6</t>
  </si>
  <si>
    <t>2455_a7</t>
  </si>
  <si>
    <t>T1</t>
  </si>
  <si>
    <t>T5</t>
  </si>
  <si>
    <t>TI (Aasted-calibrated)</t>
  </si>
  <si>
    <t>Detachment Onset</t>
  </si>
  <si>
    <t>Detachment Completion</t>
  </si>
  <si>
    <t>Repetitions</t>
  </si>
  <si>
    <t>M</t>
  </si>
  <si>
    <t>S</t>
  </si>
  <si>
    <t>Sensors</t>
  </si>
  <si>
    <t>All</t>
  </si>
  <si>
    <t>Viscosity Damping</t>
  </si>
  <si>
    <t>Cryst. Onset (rel.)</t>
  </si>
  <si>
    <t>Cryst. Efficiency</t>
  </si>
  <si>
    <t>Detachment Onset (rel.)</t>
  </si>
  <si>
    <t>Detachment Completion (rel.)</t>
  </si>
  <si>
    <t>Detachment Duration</t>
  </si>
  <si>
    <t>Cryst. Length</t>
  </si>
  <si>
    <t>2455_a_test/test3/test4</t>
  </si>
  <si>
    <t>0.1A</t>
  </si>
  <si>
    <t>2455_a_test</t>
  </si>
  <si>
    <t>Morcos cooling tunnel 15-12-15 standard 30 mins</t>
  </si>
  <si>
    <t>2455_a_test3</t>
  </si>
  <si>
    <t>2455_a_test4</t>
  </si>
  <si>
    <t>2455_b/b2/b3/b4</t>
  </si>
  <si>
    <t>0.2A, Milk Chocolate</t>
  </si>
  <si>
    <t>AMK 50 4.9 TI</t>
  </si>
  <si>
    <t>2455_b</t>
  </si>
  <si>
    <t>2455_b2</t>
  </si>
  <si>
    <t>2455_b3</t>
  </si>
  <si>
    <t>2455_b4</t>
  </si>
  <si>
    <t>2561_a</t>
  </si>
  <si>
    <t>2561_a3</t>
  </si>
  <si>
    <t>Simulator Convection 15C iso 30 mins</t>
  </si>
  <si>
    <t>2561_a4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</si>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</sst>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4373-A3E3-4344-967E-FB1489105EA5}">
  <dimension ref="A2:X88"/>
  <sheetViews>
    <sheetView tabSelected="1" workbookViewId="0">
      <selection activeCell="C9" sqref="C8:C10"/>
    </sheetView>
  </sheetViews>
  <sheetFormatPr defaultRowHeight="14.4" x14ac:dyDescent="0.3"/>
  <sheetData>
    <row r="2" spans="1:24" x14ac:dyDescent="0.3">
      <c r="A2" s="2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3"/>
      <c r="S2" s="3"/>
      <c r="T2" s="3" t="s">
        <v>2</v>
      </c>
      <c r="U2" s="3"/>
      <c r="V2" s="3"/>
      <c r="W2" s="3"/>
      <c r="X2" s="3"/>
    </row>
    <row r="3" spans="1:24" x14ac:dyDescent="0.3">
      <c r="A3" t="s">
        <v>3</v>
      </c>
      <c r="B3" t="s">
        <v>4</v>
      </c>
      <c r="L3" s="1"/>
      <c r="M3" s="1"/>
      <c r="N3" s="1"/>
      <c r="O3" s="1"/>
      <c r="P3" s="1"/>
      <c r="Q3" s="1"/>
      <c r="W3" s="1" t="s">
        <v>5</v>
      </c>
      <c r="X3" s="1" t="s">
        <v>6</v>
      </c>
    </row>
    <row r="4" spans="1:24" x14ac:dyDescent="0.3">
      <c r="A4" t="s">
        <v>7</v>
      </c>
      <c r="B4" t="s">
        <v>8</v>
      </c>
      <c r="L4" s="1"/>
      <c r="M4" s="1"/>
      <c r="N4" s="1"/>
      <c r="O4" s="1"/>
      <c r="P4" s="1"/>
      <c r="Q4" s="1"/>
      <c r="U4" s="1" t="s">
        <v>9</v>
      </c>
      <c r="V4" s="1" t="s">
        <v>10</v>
      </c>
      <c r="W4" s="4">
        <v>25.946999999999999</v>
      </c>
      <c r="X4" s="4">
        <v>25.09</v>
      </c>
    </row>
    <row r="5" spans="1:24" x14ac:dyDescent="0.3">
      <c r="A5" t="s">
        <v>11</v>
      </c>
      <c r="B5" s="1" t="s">
        <v>12</v>
      </c>
      <c r="L5" s="1"/>
      <c r="M5" s="1"/>
      <c r="N5" s="1"/>
      <c r="O5" s="1"/>
      <c r="P5" s="1"/>
      <c r="Q5" s="1"/>
      <c r="U5" s="1"/>
      <c r="V5" s="1" t="s">
        <v>13</v>
      </c>
      <c r="W5" s="4">
        <v>26.24</v>
      </c>
      <c r="X5" s="4">
        <v>25.286999999999999</v>
      </c>
    </row>
    <row r="6" spans="1:24" x14ac:dyDescent="0.3">
      <c r="A6" s="1"/>
      <c r="B6" s="1"/>
      <c r="L6" s="1"/>
      <c r="M6" s="1"/>
      <c r="N6" s="1"/>
      <c r="O6" s="1"/>
      <c r="P6" s="1"/>
      <c r="Q6" s="1"/>
      <c r="U6" s="1"/>
      <c r="V6" s="1" t="s">
        <v>14</v>
      </c>
      <c r="W6" s="4">
        <v>25.9</v>
      </c>
      <c r="X6" s="4">
        <v>25.132999999999999</v>
      </c>
    </row>
    <row r="7" spans="1:24" x14ac:dyDescent="0.3">
      <c r="B7" s="1"/>
      <c r="C7" s="1" t="s">
        <v>15</v>
      </c>
      <c r="D7" s="1" t="s">
        <v>5</v>
      </c>
      <c r="E7" s="1" t="s">
        <v>6</v>
      </c>
      <c r="F7" s="1" t="s">
        <v>16</v>
      </c>
      <c r="L7" s="1"/>
      <c r="M7" s="1"/>
      <c r="N7" s="1"/>
      <c r="O7" s="1"/>
      <c r="P7" s="1"/>
      <c r="Q7" s="1"/>
      <c r="U7" s="1"/>
      <c r="V7" s="1"/>
      <c r="W7" s="4"/>
      <c r="X7" s="4"/>
    </row>
    <row r="8" spans="1:24" x14ac:dyDescent="0.3">
      <c r="A8" t="s">
        <v>17</v>
      </c>
      <c r="B8" t="s">
        <v>10</v>
      </c>
      <c r="C8" s="4" t="s">
        <v>49</v>
      </c>
      <c r="D8" s="4">
        <v>4.8</v>
      </c>
      <c r="E8" s="4">
        <v>4.9000000000000004</v>
      </c>
      <c r="F8" s="4">
        <v>4.8</v>
      </c>
      <c r="L8" s="1"/>
      <c r="M8" s="1"/>
      <c r="N8" s="1"/>
      <c r="O8" s="1"/>
      <c r="P8" s="1"/>
      <c r="Q8" s="1"/>
      <c r="U8" s="1" t="s">
        <v>18</v>
      </c>
      <c r="V8" s="1" t="s">
        <v>10</v>
      </c>
      <c r="W8" s="4">
        <v>22.902999999999999</v>
      </c>
      <c r="X8" s="4">
        <v>22.553000000000001</v>
      </c>
    </row>
    <row r="9" spans="1:24" x14ac:dyDescent="0.3">
      <c r="A9" s="1"/>
      <c r="B9" t="s">
        <v>13</v>
      </c>
      <c r="C9" s="4">
        <v>4.7</v>
      </c>
      <c r="D9" s="4">
        <v>4.5999999999999996</v>
      </c>
      <c r="E9" s="4">
        <v>4.8</v>
      </c>
      <c r="F9" s="4">
        <v>4.8</v>
      </c>
      <c r="L9" s="1"/>
      <c r="M9" s="1"/>
      <c r="N9" s="1"/>
      <c r="O9" s="1"/>
      <c r="P9" s="1"/>
      <c r="Q9" s="1"/>
      <c r="U9" s="1"/>
      <c r="V9" s="1" t="s">
        <v>13</v>
      </c>
      <c r="W9" s="4">
        <v>23.009</v>
      </c>
      <c r="X9" s="4">
        <v>22.588000000000001</v>
      </c>
    </row>
    <row r="10" spans="1:24" x14ac:dyDescent="0.3">
      <c r="A10" s="1"/>
      <c r="B10" t="s">
        <v>14</v>
      </c>
      <c r="C10" s="4">
        <v>4.7</v>
      </c>
      <c r="D10" s="4">
        <v>4.5999999999999996</v>
      </c>
      <c r="E10" s="4">
        <v>5.2</v>
      </c>
      <c r="F10" s="4">
        <v>4.8</v>
      </c>
      <c r="L10" s="1"/>
      <c r="M10" s="1"/>
      <c r="N10" s="1"/>
      <c r="O10" s="1"/>
      <c r="P10" s="1"/>
      <c r="Q10" s="1"/>
      <c r="U10" s="1"/>
      <c r="V10" s="1" t="s">
        <v>14</v>
      </c>
      <c r="W10" s="4">
        <v>23.030999999999999</v>
      </c>
      <c r="X10" s="4">
        <v>21.968</v>
      </c>
    </row>
    <row r="11" spans="1:24" x14ac:dyDescent="0.3">
      <c r="A11" s="1"/>
      <c r="L11" s="1"/>
      <c r="M11" s="1"/>
      <c r="N11" s="1"/>
      <c r="O11" s="1"/>
      <c r="P11" s="1"/>
      <c r="Q11" s="1"/>
      <c r="U11" s="1"/>
      <c r="V11" s="1"/>
      <c r="W11" s="4"/>
      <c r="X11" s="4"/>
    </row>
    <row r="12" spans="1:24" x14ac:dyDescent="0.3">
      <c r="A12" s="1"/>
      <c r="B12" s="1"/>
      <c r="L12" s="1">
        <v>2455</v>
      </c>
      <c r="M12" s="1"/>
      <c r="N12" s="1"/>
      <c r="O12" s="1"/>
      <c r="P12" s="1"/>
      <c r="Q12" s="1"/>
      <c r="U12" s="1" t="s">
        <v>19</v>
      </c>
      <c r="V12" s="1" t="s">
        <v>10</v>
      </c>
      <c r="W12" s="4">
        <v>17.887</v>
      </c>
      <c r="X12" s="4">
        <v>19.321000000000002</v>
      </c>
    </row>
    <row r="13" spans="1:24" x14ac:dyDescent="0.3">
      <c r="A13" t="s">
        <v>20</v>
      </c>
      <c r="B13" t="s">
        <v>10</v>
      </c>
      <c r="D13" t="s">
        <v>13</v>
      </c>
      <c r="F13" t="s">
        <v>14</v>
      </c>
      <c r="L13" t="s">
        <v>21</v>
      </c>
      <c r="M13" t="s">
        <v>22</v>
      </c>
      <c r="N13" t="s">
        <v>21</v>
      </c>
      <c r="O13" t="s">
        <v>22</v>
      </c>
      <c r="P13" t="s">
        <v>21</v>
      </c>
      <c r="Q13" t="s">
        <v>22</v>
      </c>
      <c r="U13" s="1"/>
      <c r="V13" s="1" t="s">
        <v>13</v>
      </c>
      <c r="W13" s="4">
        <v>16.791</v>
      </c>
      <c r="X13" s="4">
        <v>18.439</v>
      </c>
    </row>
    <row r="14" spans="1:24" x14ac:dyDescent="0.3">
      <c r="A14" s="5" t="s">
        <v>23</v>
      </c>
      <c r="B14" s="5">
        <v>11</v>
      </c>
      <c r="C14" s="5">
        <v>22</v>
      </c>
      <c r="D14" s="5">
        <v>11</v>
      </c>
      <c r="E14" s="5">
        <v>22</v>
      </c>
      <c r="F14" s="5">
        <v>11</v>
      </c>
      <c r="G14" s="5">
        <v>22</v>
      </c>
      <c r="H14" s="5"/>
      <c r="I14" s="5"/>
      <c r="J14" s="5"/>
      <c r="K14" s="5"/>
      <c r="L14" s="5">
        <v>11</v>
      </c>
      <c r="M14" s="5"/>
      <c r="N14" s="5">
        <v>22</v>
      </c>
      <c r="O14" s="5"/>
      <c r="P14" s="5" t="s">
        <v>24</v>
      </c>
      <c r="Q14" s="5"/>
      <c r="U14" s="1"/>
      <c r="V14" s="1" t="s">
        <v>14</v>
      </c>
      <c r="W14" s="4">
        <v>18.161999999999999</v>
      </c>
      <c r="X14" s="4">
        <v>18.404</v>
      </c>
    </row>
    <row r="15" spans="1:24" x14ac:dyDescent="0.3">
      <c r="A15" t="s">
        <v>25</v>
      </c>
      <c r="B15" s="4">
        <v>0.28000000000000003</v>
      </c>
      <c r="C15" s="4">
        <v>0.13</v>
      </c>
      <c r="D15" s="4">
        <v>0.63</v>
      </c>
      <c r="E15" s="4">
        <v>0.46</v>
      </c>
      <c r="F15" s="4">
        <v>1</v>
      </c>
      <c r="G15" s="4">
        <v>0.54</v>
      </c>
      <c r="L15" s="4">
        <f>AVERAGE(B15,D15,F15)</f>
        <v>0.63666666666666671</v>
      </c>
      <c r="M15" s="4">
        <f>_xlfn.STDEV.S(B15,D15,F15)</f>
        <v>0.36004629331980809</v>
      </c>
      <c r="N15" s="4">
        <f t="shared" ref="N15:N21" si="0">AVERAGE(C15,E15,G15)</f>
        <v>0.37666666666666671</v>
      </c>
      <c r="O15" s="4">
        <f>_xlfn.STDEV.S(C15,E15,G15)</f>
        <v>0.21733231083604035</v>
      </c>
      <c r="P15" s="4">
        <f>AVERAGE(B15,C15,D15,E15,F15,G15)</f>
        <v>0.50666666666666671</v>
      </c>
      <c r="Q15" s="4">
        <f>_xlfn.STDEV.S(B15,C15,D15,E15,F15,G15)</f>
        <v>0.30170625891198655</v>
      </c>
    </row>
    <row r="16" spans="1:24" x14ac:dyDescent="0.3">
      <c r="A16" t="s">
        <v>26</v>
      </c>
      <c r="B16" s="4">
        <v>85</v>
      </c>
      <c r="C16" s="4">
        <v>85</v>
      </c>
      <c r="D16" s="4">
        <v>90</v>
      </c>
      <c r="E16" s="4">
        <v>95</v>
      </c>
      <c r="F16" s="4">
        <v>75</v>
      </c>
      <c r="G16" s="4">
        <v>75</v>
      </c>
      <c r="L16" s="4">
        <f t="shared" ref="L16:L20" si="1">AVERAGE(B16,D16,F16)</f>
        <v>83.333333333333329</v>
      </c>
      <c r="M16" s="4">
        <f t="shared" ref="M16:M21" si="2">_xlfn.STDEV.S(B16,D16,F16)</f>
        <v>7.6376261582597333</v>
      </c>
      <c r="N16" s="4">
        <f t="shared" si="0"/>
        <v>85</v>
      </c>
      <c r="O16" s="4">
        <f>_xlfn.STDEV.S(C16,E16,G16)</f>
        <v>10</v>
      </c>
      <c r="P16" s="4">
        <f t="shared" ref="P16:P21" si="3">AVERAGE(B16,C16,D16,E16,F16,G16)</f>
        <v>84.166666666666671</v>
      </c>
      <c r="Q16" s="4">
        <f t="shared" ref="Q16:Q21" si="4">_xlfn.STDEV.S(B16,C16,D16,E16,F16,G16)</f>
        <v>8.0104098937986112</v>
      </c>
    </row>
    <row r="17" spans="1:24" x14ac:dyDescent="0.3">
      <c r="A17" t="s">
        <v>27</v>
      </c>
      <c r="B17" s="4">
        <v>0.03</v>
      </c>
      <c r="C17" s="4">
        <v>0.03</v>
      </c>
      <c r="D17" s="4">
        <v>0.03</v>
      </c>
      <c r="E17" s="4">
        <v>0.04</v>
      </c>
      <c r="F17" s="4">
        <v>0.04</v>
      </c>
      <c r="G17" s="4">
        <v>0.03</v>
      </c>
      <c r="L17" s="4">
        <f t="shared" si="1"/>
        <v>3.3333333333333333E-2</v>
      </c>
      <c r="M17" s="4">
        <f>_xlfn.STDEV.S(B17,D17,F17)</f>
        <v>5.7735026918962588E-3</v>
      </c>
      <c r="N17" s="4">
        <f t="shared" si="0"/>
        <v>3.3333333333333333E-2</v>
      </c>
      <c r="O17" s="4">
        <f t="shared" ref="O17:O21" si="5">_xlfn.STDEV.S(C17,E17,G17)</f>
        <v>5.773502691896258E-3</v>
      </c>
      <c r="P17" s="4">
        <f t="shared" si="3"/>
        <v>3.3333333333333333E-2</v>
      </c>
      <c r="Q17" s="4">
        <f t="shared" si="4"/>
        <v>5.1639777949432242E-3</v>
      </c>
    </row>
    <row r="18" spans="1:24" x14ac:dyDescent="0.3">
      <c r="A18" t="s">
        <v>28</v>
      </c>
      <c r="B18" s="4">
        <v>450</v>
      </c>
      <c r="C18" s="4">
        <v>305</v>
      </c>
      <c r="D18" s="4">
        <v>475</v>
      </c>
      <c r="E18" s="4">
        <v>345</v>
      </c>
      <c r="F18" s="4">
        <v>445</v>
      </c>
      <c r="G18" s="4">
        <v>325</v>
      </c>
      <c r="L18" s="4">
        <f>AVERAGE(B18,D18,F18)</f>
        <v>456.66666666666669</v>
      </c>
      <c r="M18" s="4">
        <f t="shared" si="2"/>
        <v>16.072751268321593</v>
      </c>
      <c r="N18" s="4">
        <f t="shared" si="0"/>
        <v>325</v>
      </c>
      <c r="O18" s="4">
        <f t="shared" si="5"/>
        <v>20</v>
      </c>
      <c r="P18" s="4">
        <f t="shared" si="3"/>
        <v>390.83333333333331</v>
      </c>
      <c r="Q18" s="4">
        <f t="shared" si="4"/>
        <v>73.92000180375183</v>
      </c>
    </row>
    <row r="19" spans="1:24" x14ac:dyDescent="0.3">
      <c r="A19" t="s">
        <v>29</v>
      </c>
      <c r="B19" s="4">
        <v>965</v>
      </c>
      <c r="C19" s="4">
        <v>610</v>
      </c>
      <c r="D19" s="4">
        <v>1125</v>
      </c>
      <c r="E19" s="4">
        <v>745</v>
      </c>
      <c r="F19" s="4">
        <v>955</v>
      </c>
      <c r="G19" s="4">
        <v>665</v>
      </c>
      <c r="L19" s="4">
        <f t="shared" si="1"/>
        <v>1015</v>
      </c>
      <c r="M19" s="4">
        <f t="shared" si="2"/>
        <v>95.393920141694565</v>
      </c>
      <c r="N19" s="4">
        <f t="shared" si="0"/>
        <v>673.33333333333337</v>
      </c>
      <c r="O19" s="4">
        <f t="shared" si="5"/>
        <v>67.884706181387671</v>
      </c>
      <c r="P19" s="4">
        <f t="shared" si="3"/>
        <v>844.16666666666663</v>
      </c>
      <c r="Q19" s="4">
        <f t="shared" si="4"/>
        <v>201.25646987529768</v>
      </c>
      <c r="T19" s="1"/>
      <c r="U19" s="1"/>
      <c r="V19" s="1"/>
    </row>
    <row r="20" spans="1:24" x14ac:dyDescent="0.3">
      <c r="A20" t="s">
        <v>30</v>
      </c>
      <c r="B20" s="4">
        <v>515</v>
      </c>
      <c r="C20" s="4">
        <v>305</v>
      </c>
      <c r="D20" s="4">
        <v>650</v>
      </c>
      <c r="E20" s="4">
        <v>400</v>
      </c>
      <c r="F20" s="4">
        <v>510</v>
      </c>
      <c r="G20" s="4">
        <v>340</v>
      </c>
      <c r="L20" s="4">
        <f t="shared" si="1"/>
        <v>558.33333333333337</v>
      </c>
      <c r="M20" s="4">
        <f t="shared" si="2"/>
        <v>79.425017049625581</v>
      </c>
      <c r="N20" s="4">
        <f t="shared" si="0"/>
        <v>348.33333333333331</v>
      </c>
      <c r="O20" s="4">
        <f t="shared" si="5"/>
        <v>48.04511768466535</v>
      </c>
      <c r="P20" s="4">
        <f t="shared" si="3"/>
        <v>453.33333333333331</v>
      </c>
      <c r="Q20" s="4">
        <f t="shared" si="4"/>
        <v>129.13816889930973</v>
      </c>
    </row>
    <row r="21" spans="1:24" x14ac:dyDescent="0.3">
      <c r="A21" t="s">
        <v>31</v>
      </c>
      <c r="B21" s="4">
        <f>B18-B16</f>
        <v>365</v>
      </c>
      <c r="C21" s="4">
        <f t="shared" ref="C21:G21" si="6">C18-C16</f>
        <v>220</v>
      </c>
      <c r="D21" s="4">
        <f t="shared" si="6"/>
        <v>385</v>
      </c>
      <c r="E21" s="4">
        <f t="shared" si="6"/>
        <v>250</v>
      </c>
      <c r="F21" s="4">
        <f>F18-F16</f>
        <v>370</v>
      </c>
      <c r="G21" s="4">
        <f t="shared" si="6"/>
        <v>250</v>
      </c>
      <c r="L21" s="4">
        <f>AVERAGE(B21,D21,F21)</f>
        <v>373.33333333333331</v>
      </c>
      <c r="M21" s="4">
        <f t="shared" si="2"/>
        <v>10.408329997330663</v>
      </c>
      <c r="N21" s="4">
        <f t="shared" si="0"/>
        <v>240</v>
      </c>
      <c r="O21" s="4">
        <f t="shared" si="5"/>
        <v>17.320508075688775</v>
      </c>
      <c r="P21" s="4">
        <f t="shared" si="3"/>
        <v>306.66666666666669</v>
      </c>
      <c r="Q21" s="4">
        <f t="shared" si="4"/>
        <v>74.139508136125869</v>
      </c>
    </row>
    <row r="24" spans="1:24" x14ac:dyDescent="0.3">
      <c r="A24" s="2" t="s">
        <v>0</v>
      </c>
      <c r="B24" s="2" t="s">
        <v>32</v>
      </c>
      <c r="C24" s="3"/>
      <c r="D24" s="3"/>
      <c r="E24" s="3"/>
      <c r="F24" s="3"/>
      <c r="G24" s="3"/>
      <c r="H24" s="3"/>
      <c r="I24" s="3"/>
      <c r="J24" s="3"/>
      <c r="K24" s="3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</row>
    <row r="25" spans="1:24" x14ac:dyDescent="0.3">
      <c r="A25" t="s">
        <v>3</v>
      </c>
      <c r="B25" t="s">
        <v>33</v>
      </c>
      <c r="L25" s="1"/>
      <c r="M25" s="1"/>
      <c r="N25" s="1"/>
      <c r="O25" s="1"/>
      <c r="P25" s="1"/>
      <c r="Q25" s="1"/>
      <c r="W25" s="1" t="s">
        <v>5</v>
      </c>
      <c r="X25" s="1" t="s">
        <v>6</v>
      </c>
    </row>
    <row r="26" spans="1:24" x14ac:dyDescent="0.3">
      <c r="A26" t="s">
        <v>7</v>
      </c>
      <c r="B26" t="s">
        <v>8</v>
      </c>
      <c r="L26" s="1"/>
      <c r="M26" s="1"/>
      <c r="N26" s="1"/>
      <c r="O26" s="1"/>
      <c r="P26" s="1"/>
      <c r="Q26" s="1"/>
      <c r="U26" s="1" t="s">
        <v>9</v>
      </c>
      <c r="V26" s="1" t="s">
        <v>34</v>
      </c>
      <c r="W26" s="4">
        <v>26.129000000000001</v>
      </c>
      <c r="X26" s="4">
        <v>25.693999999999999</v>
      </c>
    </row>
    <row r="27" spans="1:24" x14ac:dyDescent="0.3">
      <c r="A27" t="s">
        <v>11</v>
      </c>
      <c r="B27" s="1" t="s">
        <v>35</v>
      </c>
      <c r="L27" s="1"/>
      <c r="M27" s="1"/>
      <c r="N27" s="1"/>
      <c r="O27" s="1"/>
      <c r="P27" s="1"/>
      <c r="Q27" s="1"/>
      <c r="U27" s="1"/>
      <c r="V27" s="1" t="s">
        <v>36</v>
      </c>
      <c r="W27" s="4">
        <v>25.381</v>
      </c>
      <c r="X27" s="4">
        <v>26.338000000000001</v>
      </c>
    </row>
    <row r="28" spans="1:24" x14ac:dyDescent="0.3">
      <c r="A28" s="1"/>
      <c r="B28" s="1"/>
      <c r="L28" s="1"/>
      <c r="M28" s="1"/>
      <c r="N28" s="1"/>
      <c r="O28" s="1"/>
      <c r="P28" s="1"/>
      <c r="Q28" s="1"/>
      <c r="U28" s="1"/>
      <c r="V28" s="1" t="s">
        <v>37</v>
      </c>
      <c r="W28" s="4">
        <v>25.41</v>
      </c>
      <c r="X28" s="4">
        <v>26.216000000000001</v>
      </c>
    </row>
    <row r="29" spans="1:24" x14ac:dyDescent="0.3">
      <c r="B29" s="1"/>
      <c r="C29" s="1" t="s">
        <v>15</v>
      </c>
      <c r="D29" s="1" t="s">
        <v>5</v>
      </c>
      <c r="E29" s="1" t="s">
        <v>6</v>
      </c>
      <c r="F29" s="1" t="s">
        <v>16</v>
      </c>
      <c r="L29" s="1"/>
      <c r="M29" s="1"/>
      <c r="N29" s="1"/>
      <c r="O29" s="1"/>
      <c r="P29" s="1"/>
      <c r="Q29" s="1"/>
      <c r="U29" s="1"/>
      <c r="V29" s="1"/>
      <c r="W29" s="4"/>
      <c r="X29" s="4"/>
    </row>
    <row r="30" spans="1:24" x14ac:dyDescent="0.3">
      <c r="A30" t="s">
        <v>17</v>
      </c>
      <c r="B30" t="s">
        <v>34</v>
      </c>
      <c r="C30" s="4">
        <v>4</v>
      </c>
      <c r="D30" s="4">
        <v>4</v>
      </c>
      <c r="E30" s="4">
        <v>4.4000000000000004</v>
      </c>
      <c r="F30" s="4">
        <v>3.4</v>
      </c>
      <c r="L30" s="1"/>
      <c r="M30" s="1"/>
      <c r="N30" s="1"/>
      <c r="O30" s="1"/>
      <c r="P30" s="1"/>
      <c r="Q30" s="1"/>
      <c r="U30" s="1" t="s">
        <v>18</v>
      </c>
      <c r="V30" s="1" t="s">
        <v>34</v>
      </c>
      <c r="W30" s="4">
        <v>22.99</v>
      </c>
      <c r="X30" s="4">
        <v>23.280999999999999</v>
      </c>
    </row>
    <row r="31" spans="1:24" x14ac:dyDescent="0.3">
      <c r="A31" s="1"/>
      <c r="B31" t="s">
        <v>36</v>
      </c>
      <c r="C31" s="4">
        <v>2.2999999999999998</v>
      </c>
      <c r="D31" s="4">
        <v>2.1</v>
      </c>
      <c r="E31" s="4">
        <v>5.6</v>
      </c>
      <c r="F31" s="4">
        <v>6.3</v>
      </c>
      <c r="L31" s="1"/>
      <c r="M31" s="1"/>
      <c r="N31" s="1"/>
      <c r="O31" s="1"/>
      <c r="P31" s="1"/>
      <c r="Q31" s="1"/>
      <c r="U31" s="1"/>
      <c r="V31" s="1" t="s">
        <v>36</v>
      </c>
      <c r="W31" s="4">
        <v>23.126000000000001</v>
      </c>
      <c r="X31" s="4">
        <v>23.408000000000001</v>
      </c>
    </row>
    <row r="32" spans="1:24" x14ac:dyDescent="0.3">
      <c r="A32" s="1"/>
      <c r="B32" t="s">
        <v>37</v>
      </c>
      <c r="C32" s="4">
        <v>2.2999999999999998</v>
      </c>
      <c r="D32" s="4">
        <v>2.2999999999999998</v>
      </c>
      <c r="E32" s="4">
        <v>3.3</v>
      </c>
      <c r="F32" s="4">
        <v>1.1000000000000001</v>
      </c>
      <c r="L32" s="1"/>
      <c r="M32" s="1"/>
      <c r="N32" s="1"/>
      <c r="O32" s="1"/>
      <c r="P32" s="1"/>
      <c r="Q32" s="1"/>
      <c r="U32" s="1"/>
      <c r="V32" s="1" t="s">
        <v>37</v>
      </c>
      <c r="W32" s="4">
        <v>22.959</v>
      </c>
      <c r="X32" s="4">
        <v>23.474</v>
      </c>
    </row>
    <row r="33" spans="1:24" x14ac:dyDescent="0.3">
      <c r="A33" s="1"/>
      <c r="L33" s="1"/>
      <c r="M33" s="1"/>
      <c r="N33" s="1"/>
      <c r="O33" s="1"/>
      <c r="P33" s="1"/>
      <c r="Q33" s="1"/>
      <c r="U33" s="1"/>
      <c r="V33" s="1"/>
      <c r="W33" s="4"/>
      <c r="X33" s="4"/>
    </row>
    <row r="34" spans="1:24" x14ac:dyDescent="0.3">
      <c r="A34" s="1"/>
      <c r="B34" s="1"/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U34" s="1" t="s">
        <v>19</v>
      </c>
      <c r="V34" s="1" t="s">
        <v>34</v>
      </c>
      <c r="W34" s="4">
        <v>19.727</v>
      </c>
      <c r="X34" s="4">
        <v>19.777000000000001</v>
      </c>
    </row>
    <row r="35" spans="1:24" x14ac:dyDescent="0.3">
      <c r="A35" t="s">
        <v>20</v>
      </c>
      <c r="B35" t="s">
        <v>34</v>
      </c>
      <c r="D35" t="s">
        <v>36</v>
      </c>
      <c r="F35" t="s">
        <v>37</v>
      </c>
      <c r="L35" t="s">
        <v>21</v>
      </c>
      <c r="M35" t="s">
        <v>22</v>
      </c>
      <c r="N35" t="s">
        <v>21</v>
      </c>
      <c r="O35" t="s">
        <v>22</v>
      </c>
      <c r="P35" t="s">
        <v>21</v>
      </c>
      <c r="Q35" t="s">
        <v>22</v>
      </c>
      <c r="U35" s="1"/>
      <c r="V35" s="1" t="s">
        <v>36</v>
      </c>
      <c r="W35" s="4">
        <v>20.428000000000001</v>
      </c>
      <c r="X35" s="4">
        <v>18.806000000000001</v>
      </c>
    </row>
    <row r="36" spans="1:24" x14ac:dyDescent="0.3">
      <c r="A36" s="5" t="s">
        <v>23</v>
      </c>
      <c r="B36" s="5">
        <v>11</v>
      </c>
      <c r="C36" s="5">
        <v>22</v>
      </c>
      <c r="D36" s="5">
        <v>11</v>
      </c>
      <c r="E36" s="5">
        <v>22</v>
      </c>
      <c r="F36" s="5">
        <v>11</v>
      </c>
      <c r="G36" s="5">
        <v>22</v>
      </c>
      <c r="H36" s="5"/>
      <c r="I36" s="5"/>
      <c r="J36" s="5"/>
      <c r="K36" s="5"/>
      <c r="L36" s="5">
        <v>11</v>
      </c>
      <c r="M36" s="5"/>
      <c r="N36" s="5">
        <v>22</v>
      </c>
      <c r="O36" s="5"/>
      <c r="P36" s="5" t="s">
        <v>24</v>
      </c>
      <c r="Q36" s="5"/>
      <c r="U36" s="1"/>
      <c r="V36" s="1" t="s">
        <v>37</v>
      </c>
      <c r="W36" s="4">
        <v>20.077999999999999</v>
      </c>
      <c r="X36" s="4">
        <v>20.922999999999998</v>
      </c>
    </row>
    <row r="37" spans="1:24" x14ac:dyDescent="0.3">
      <c r="A37" t="s">
        <v>25</v>
      </c>
      <c r="B37" s="4">
        <v>1</v>
      </c>
      <c r="C37" s="4">
        <v>0.99</v>
      </c>
      <c r="D37" s="4">
        <v>0.15</v>
      </c>
      <c r="E37" s="4">
        <v>0.39</v>
      </c>
      <c r="F37" s="4">
        <v>0.13</v>
      </c>
      <c r="G37" s="4">
        <v>0.01</v>
      </c>
      <c r="L37" s="4">
        <f>AVERAGE(B37,D37,F37)</f>
        <v>0.42666666666666658</v>
      </c>
      <c r="M37" s="4">
        <f>_xlfn.STDEV.S(B37,D37,F37)</f>
        <v>0.49662192192183119</v>
      </c>
      <c r="N37" s="4">
        <f t="shared" ref="N37:N43" si="7">AVERAGE(C37,E37,G37)</f>
        <v>0.46333333333333332</v>
      </c>
      <c r="O37" s="4">
        <f>_xlfn.STDEV.S(C37,E37,G37)</f>
        <v>0.49409850569834091</v>
      </c>
      <c r="P37" s="4">
        <f>AVERAGE(B37,C37,D37,E37,F37,G37)</f>
        <v>0.44500000000000001</v>
      </c>
      <c r="Q37" s="4">
        <f>_xlfn.STDEV.S(B37,C37,D37,E37,F37,G37)</f>
        <v>0.4435200108225108</v>
      </c>
    </row>
    <row r="38" spans="1:24" x14ac:dyDescent="0.3">
      <c r="A38" t="s">
        <v>26</v>
      </c>
      <c r="B38" s="4">
        <v>90</v>
      </c>
      <c r="C38" s="4">
        <v>85</v>
      </c>
      <c r="D38" s="4">
        <v>92</v>
      </c>
      <c r="E38" s="4">
        <v>50</v>
      </c>
      <c r="F38" s="4">
        <v>96</v>
      </c>
      <c r="G38" s="4">
        <v>66</v>
      </c>
      <c r="L38" s="4">
        <f t="shared" ref="L38:L39" si="8">AVERAGE(B38,D38,F38)</f>
        <v>92.666666666666671</v>
      </c>
      <c r="M38" s="4">
        <f t="shared" ref="M38" si="9">_xlfn.STDEV.S(B38,D38,F38)</f>
        <v>3.0550504633038931</v>
      </c>
      <c r="N38" s="4">
        <f t="shared" si="7"/>
        <v>67</v>
      </c>
      <c r="O38" s="4">
        <f>_xlfn.STDEV.S(C38,E38,G38)</f>
        <v>17.521415467935231</v>
      </c>
      <c r="P38" s="4">
        <f t="shared" ref="P38:P43" si="10">AVERAGE(B38,C38,D38,E38,F38,G38)</f>
        <v>79.833333333333329</v>
      </c>
      <c r="Q38" s="4">
        <f t="shared" ref="Q38:Q43" si="11">_xlfn.STDEV.S(B38,C38,D38,E38,F38,G38)</f>
        <v>18.004629034408545</v>
      </c>
    </row>
    <row r="39" spans="1:24" x14ac:dyDescent="0.3">
      <c r="A39" t="s">
        <v>27</v>
      </c>
      <c r="B39" s="4">
        <v>0.03</v>
      </c>
      <c r="C39" s="4">
        <v>0.05</v>
      </c>
      <c r="D39" s="4">
        <v>0.01</v>
      </c>
      <c r="E39" s="4">
        <v>0.08</v>
      </c>
      <c r="F39" s="4">
        <v>0</v>
      </c>
      <c r="G39" s="4">
        <v>7.0000000000000007E-2</v>
      </c>
      <c r="L39" s="4">
        <f t="shared" si="8"/>
        <v>1.3333333333333334E-2</v>
      </c>
      <c r="M39" s="4">
        <f>_xlfn.STDEV.S(B39,D39,F39)</f>
        <v>1.5275252316519466E-2</v>
      </c>
      <c r="N39" s="4">
        <f t="shared" si="7"/>
        <v>6.6666666666666666E-2</v>
      </c>
      <c r="O39" s="4">
        <f t="shared" ref="O39:O43" si="12">_xlfn.STDEV.S(C39,E39,G39)</f>
        <v>1.5275252316519477E-2</v>
      </c>
      <c r="P39" s="4">
        <f t="shared" si="10"/>
        <v>0.04</v>
      </c>
      <c r="Q39" s="4">
        <f t="shared" si="11"/>
        <v>3.2249030993194205E-2</v>
      </c>
    </row>
    <row r="40" spans="1:24" x14ac:dyDescent="0.3">
      <c r="A40" t="s">
        <v>28</v>
      </c>
      <c r="B40" s="4">
        <v>390</v>
      </c>
      <c r="C40" s="4">
        <v>385</v>
      </c>
      <c r="D40" s="4">
        <v>340</v>
      </c>
      <c r="E40" s="4">
        <v>324</v>
      </c>
      <c r="F40" s="4">
        <v>350</v>
      </c>
      <c r="G40" s="4">
        <v>336</v>
      </c>
      <c r="L40" s="4">
        <f>AVERAGE(B40,D40,F40)</f>
        <v>360</v>
      </c>
      <c r="M40" s="4">
        <f t="shared" ref="M40:M43" si="13">_xlfn.STDEV.S(B40,D40,F40)</f>
        <v>26.457513110645905</v>
      </c>
      <c r="N40" s="4">
        <f t="shared" si="7"/>
        <v>348.33333333333331</v>
      </c>
      <c r="O40" s="4">
        <f t="shared" si="12"/>
        <v>32.316146634976974</v>
      </c>
      <c r="P40" s="4">
        <f t="shared" si="10"/>
        <v>354.16666666666669</v>
      </c>
      <c r="Q40" s="4">
        <f t="shared" si="11"/>
        <v>27.176583057232683</v>
      </c>
    </row>
    <row r="41" spans="1:24" x14ac:dyDescent="0.3">
      <c r="A41" t="s">
        <v>29</v>
      </c>
      <c r="B41" s="4">
        <v>660</v>
      </c>
      <c r="C41" s="4">
        <v>800</v>
      </c>
      <c r="D41" s="4">
        <v>546</v>
      </c>
      <c r="E41" s="4">
        <v>838</v>
      </c>
      <c r="F41" s="4">
        <v>562</v>
      </c>
      <c r="G41" s="4">
        <v>670</v>
      </c>
      <c r="L41" s="4">
        <f t="shared" ref="L41:L42" si="14">AVERAGE(B41,D41,F41)</f>
        <v>589.33333333333337</v>
      </c>
      <c r="M41" s="4">
        <f t="shared" si="13"/>
        <v>61.719796932048745</v>
      </c>
      <c r="N41" s="4">
        <f t="shared" si="7"/>
        <v>769.33333333333337</v>
      </c>
      <c r="O41" s="4">
        <f t="shared" si="12"/>
        <v>88.098429800611839</v>
      </c>
      <c r="P41" s="4">
        <f t="shared" si="10"/>
        <v>679.33333333333337</v>
      </c>
      <c r="Q41" s="4">
        <f t="shared" si="11"/>
        <v>119.78425049507426</v>
      </c>
    </row>
    <row r="42" spans="1:24" x14ac:dyDescent="0.3">
      <c r="A42" t="s">
        <v>30</v>
      </c>
      <c r="B42" s="4">
        <v>270</v>
      </c>
      <c r="C42" s="4">
        <v>415</v>
      </c>
      <c r="D42" s="4">
        <v>206</v>
      </c>
      <c r="E42" s="4">
        <v>514</v>
      </c>
      <c r="F42" s="4">
        <v>212</v>
      </c>
      <c r="G42" s="4">
        <v>334</v>
      </c>
      <c r="L42" s="4">
        <f t="shared" si="14"/>
        <v>229.33333333333334</v>
      </c>
      <c r="M42" s="4">
        <f t="shared" si="13"/>
        <v>35.345909711497434</v>
      </c>
      <c r="N42" s="4">
        <f t="shared" si="7"/>
        <v>421</v>
      </c>
      <c r="O42" s="4">
        <f t="shared" si="12"/>
        <v>90.149875207900322</v>
      </c>
      <c r="P42" s="4">
        <f t="shared" si="10"/>
        <v>325.16666666666669</v>
      </c>
      <c r="Q42" s="4">
        <f t="shared" si="11"/>
        <v>121.53751135623386</v>
      </c>
    </row>
    <row r="43" spans="1:24" x14ac:dyDescent="0.3">
      <c r="A43" t="s">
        <v>31</v>
      </c>
      <c r="B43" s="4">
        <f>B40-B38</f>
        <v>300</v>
      </c>
      <c r="C43" s="4">
        <f t="shared" ref="C43:G43" si="15">C40-C38</f>
        <v>300</v>
      </c>
      <c r="D43" s="4">
        <f t="shared" si="15"/>
        <v>248</v>
      </c>
      <c r="E43" s="4">
        <f t="shared" si="15"/>
        <v>274</v>
      </c>
      <c r="F43" s="4">
        <f t="shared" si="15"/>
        <v>254</v>
      </c>
      <c r="G43" s="4">
        <f t="shared" si="15"/>
        <v>270</v>
      </c>
      <c r="L43" s="4">
        <f>AVERAGE(B43,D43,F43)</f>
        <v>267.33333333333331</v>
      </c>
      <c r="M43" s="4">
        <f t="shared" si="13"/>
        <v>28.448784391135828</v>
      </c>
      <c r="N43" s="4">
        <f t="shared" si="7"/>
        <v>281.33333333333331</v>
      </c>
      <c r="O43" s="4">
        <f t="shared" si="12"/>
        <v>16.289055630494154</v>
      </c>
      <c r="P43" s="4">
        <f t="shared" si="10"/>
        <v>274.33333333333331</v>
      </c>
      <c r="Q43" s="4">
        <f t="shared" si="11"/>
        <v>22.105806175452337</v>
      </c>
    </row>
    <row r="46" spans="1:24" x14ac:dyDescent="0.3">
      <c r="A46" s="2" t="s">
        <v>0</v>
      </c>
      <c r="B46" s="2" t="s">
        <v>38</v>
      </c>
      <c r="C46" s="3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3"/>
      <c r="R46" s="3"/>
      <c r="S46" s="3"/>
      <c r="T46" s="3"/>
      <c r="U46" s="3"/>
      <c r="V46" s="3"/>
      <c r="W46" s="3"/>
      <c r="X46" s="3"/>
    </row>
    <row r="47" spans="1:24" x14ac:dyDescent="0.3">
      <c r="A47" t="s">
        <v>3</v>
      </c>
      <c r="B47" s="1" t="s">
        <v>39</v>
      </c>
      <c r="L47" s="1"/>
      <c r="M47" s="1"/>
      <c r="N47" s="1"/>
      <c r="O47" s="1"/>
      <c r="P47" s="1"/>
      <c r="Q47" s="1"/>
      <c r="W47" s="1" t="s">
        <v>5</v>
      </c>
      <c r="X47" s="1" t="s">
        <v>6</v>
      </c>
    </row>
    <row r="48" spans="1:24" x14ac:dyDescent="0.3">
      <c r="A48" t="s">
        <v>7</v>
      </c>
      <c r="B48" t="s">
        <v>40</v>
      </c>
      <c r="L48" s="1"/>
      <c r="M48" s="1"/>
      <c r="N48" s="1"/>
      <c r="O48" s="1"/>
      <c r="P48" s="1"/>
      <c r="Q48" s="1"/>
      <c r="U48" s="1" t="s">
        <v>9</v>
      </c>
      <c r="V48" s="1" t="s">
        <v>41</v>
      </c>
      <c r="W48" s="4">
        <v>24.091999999999999</v>
      </c>
      <c r="X48" s="4">
        <v>23.908999999999999</v>
      </c>
    </row>
    <row r="49" spans="1:24" x14ac:dyDescent="0.3">
      <c r="A49" t="s">
        <v>11</v>
      </c>
      <c r="B49" t="s">
        <v>12</v>
      </c>
      <c r="L49" s="1"/>
      <c r="M49" s="1"/>
      <c r="N49" s="1"/>
      <c r="O49" s="1"/>
      <c r="P49" s="1"/>
      <c r="Q49" s="1"/>
      <c r="U49" s="1"/>
      <c r="V49" s="1" t="s">
        <v>42</v>
      </c>
      <c r="W49" s="4">
        <v>24.038</v>
      </c>
      <c r="X49" s="4">
        <v>23.85</v>
      </c>
    </row>
    <row r="50" spans="1:24" x14ac:dyDescent="0.3">
      <c r="A50" s="1"/>
      <c r="B50" s="1"/>
      <c r="L50" s="1"/>
      <c r="M50" s="1"/>
      <c r="N50" s="1"/>
      <c r="O50" s="1"/>
      <c r="P50" s="1"/>
      <c r="Q50" s="1"/>
      <c r="U50" s="1"/>
      <c r="V50" s="1" t="s">
        <v>43</v>
      </c>
      <c r="W50" s="4">
        <v>24.42</v>
      </c>
      <c r="X50" s="4">
        <v>24.285</v>
      </c>
    </row>
    <row r="51" spans="1:24" x14ac:dyDescent="0.3">
      <c r="B51" s="1"/>
      <c r="C51" s="1" t="s">
        <v>15</v>
      </c>
      <c r="D51" s="1" t="s">
        <v>5</v>
      </c>
      <c r="E51" s="1" t="s">
        <v>6</v>
      </c>
      <c r="F51" s="1" t="s">
        <v>16</v>
      </c>
      <c r="L51" s="1"/>
      <c r="M51" s="1"/>
      <c r="N51" s="1"/>
      <c r="O51" s="1"/>
      <c r="P51" s="1"/>
      <c r="Q51" s="1"/>
      <c r="U51" s="1"/>
      <c r="V51" s="1" t="s">
        <v>44</v>
      </c>
      <c r="W51" s="4">
        <v>24.256</v>
      </c>
      <c r="X51" s="4">
        <v>24.172000000000001</v>
      </c>
    </row>
    <row r="52" spans="1:24" x14ac:dyDescent="0.3">
      <c r="A52" t="s">
        <v>17</v>
      </c>
      <c r="B52" t="s">
        <v>41</v>
      </c>
      <c r="C52" s="4">
        <v>5.3</v>
      </c>
      <c r="D52" s="4">
        <v>5.3</v>
      </c>
      <c r="E52" s="4">
        <v>5.7</v>
      </c>
      <c r="F52" s="4">
        <v>5.6</v>
      </c>
      <c r="L52" s="1"/>
      <c r="M52" s="1"/>
      <c r="N52" s="1"/>
      <c r="O52" s="1"/>
      <c r="P52" s="1"/>
      <c r="Q52" s="1"/>
      <c r="U52" s="1"/>
      <c r="V52" s="1"/>
      <c r="W52" s="4"/>
      <c r="X52" s="4"/>
    </row>
    <row r="53" spans="1:24" x14ac:dyDescent="0.3">
      <c r="A53" s="1"/>
      <c r="B53" t="s">
        <v>42</v>
      </c>
      <c r="C53" s="4">
        <v>4.8</v>
      </c>
      <c r="D53" s="4">
        <v>4.8</v>
      </c>
      <c r="E53" s="4">
        <v>4.9000000000000004</v>
      </c>
      <c r="F53" s="4">
        <v>4.9000000000000004</v>
      </c>
      <c r="L53" s="1"/>
      <c r="M53" s="1"/>
      <c r="N53" s="1"/>
      <c r="O53" s="1"/>
      <c r="P53" s="1"/>
      <c r="Q53" s="1"/>
      <c r="U53" s="1" t="s">
        <v>18</v>
      </c>
      <c r="V53" s="1" t="s">
        <v>41</v>
      </c>
      <c r="W53" s="4">
        <v>19.776</v>
      </c>
      <c r="X53" s="4">
        <v>17.486999999999998</v>
      </c>
    </row>
    <row r="54" spans="1:24" x14ac:dyDescent="0.3">
      <c r="A54" s="1"/>
      <c r="B54" t="s">
        <v>43</v>
      </c>
      <c r="C54" s="4">
        <v>7.2</v>
      </c>
      <c r="D54" s="4">
        <v>5.0999999999999996</v>
      </c>
      <c r="E54" s="4">
        <v>5.3</v>
      </c>
      <c r="F54" s="4">
        <v>5.3</v>
      </c>
      <c r="L54" s="1"/>
      <c r="M54" s="1"/>
      <c r="N54" s="1"/>
      <c r="O54" s="1"/>
      <c r="P54" s="1"/>
      <c r="Q54" s="1"/>
      <c r="U54" s="1"/>
      <c r="V54" s="1" t="s">
        <v>42</v>
      </c>
      <c r="W54" s="4">
        <v>20.87</v>
      </c>
      <c r="X54" s="4">
        <v>19.678999999999998</v>
      </c>
    </row>
    <row r="55" spans="1:24" x14ac:dyDescent="0.3">
      <c r="A55" s="1"/>
      <c r="B55" t="s">
        <v>44</v>
      </c>
      <c r="C55" s="4">
        <v>5.3</v>
      </c>
      <c r="D55" s="4">
        <v>5.2</v>
      </c>
      <c r="E55" s="4">
        <v>5.5</v>
      </c>
      <c r="F55" s="4">
        <v>5.4</v>
      </c>
      <c r="L55" s="1"/>
      <c r="M55" s="1"/>
      <c r="N55" s="1"/>
      <c r="O55" s="1"/>
      <c r="P55" s="1"/>
      <c r="Q55" s="1"/>
      <c r="U55" s="1"/>
      <c r="V55" s="1" t="s">
        <v>43</v>
      </c>
      <c r="W55" s="4">
        <v>18.510999999999999</v>
      </c>
      <c r="X55" s="4">
        <v>16.260999999999999</v>
      </c>
    </row>
    <row r="56" spans="1:24" x14ac:dyDescent="0.3">
      <c r="A56" s="1"/>
      <c r="L56" s="1"/>
      <c r="M56" s="1"/>
      <c r="N56" s="1"/>
      <c r="O56" s="1"/>
      <c r="P56" s="1"/>
      <c r="Q56" s="1"/>
      <c r="U56" s="1"/>
      <c r="V56" s="1" t="s">
        <v>44</v>
      </c>
      <c r="W56" s="4">
        <v>20.922000000000001</v>
      </c>
      <c r="X56" s="4">
        <v>18.664999999999999</v>
      </c>
    </row>
    <row r="57" spans="1:24" x14ac:dyDescent="0.3">
      <c r="A57" s="1"/>
      <c r="B57" s="1"/>
      <c r="L57" t="s">
        <v>41</v>
      </c>
      <c r="M57" s="1"/>
      <c r="N57" s="1"/>
      <c r="O57" s="1"/>
      <c r="P57" s="1"/>
      <c r="Q57" s="1"/>
      <c r="U57" s="1"/>
      <c r="V57" s="1"/>
      <c r="W57" s="4"/>
      <c r="X57" s="4"/>
    </row>
    <row r="58" spans="1:24" x14ac:dyDescent="0.3">
      <c r="A58" t="s">
        <v>20</v>
      </c>
      <c r="B58" t="s">
        <v>41</v>
      </c>
      <c r="D58" t="s">
        <v>42</v>
      </c>
      <c r="F58" t="s">
        <v>43</v>
      </c>
      <c r="H58" t="s">
        <v>44</v>
      </c>
      <c r="L58" t="s">
        <v>21</v>
      </c>
      <c r="M58" t="s">
        <v>22</v>
      </c>
      <c r="N58" t="s">
        <v>21</v>
      </c>
      <c r="O58" t="s">
        <v>22</v>
      </c>
      <c r="P58" t="s">
        <v>21</v>
      </c>
      <c r="Q58" t="s">
        <v>22</v>
      </c>
      <c r="U58" s="1" t="s">
        <v>19</v>
      </c>
      <c r="V58" s="1" t="s">
        <v>41</v>
      </c>
      <c r="W58" s="4">
        <v>15.942</v>
      </c>
      <c r="X58" s="4">
        <v>15.755000000000001</v>
      </c>
    </row>
    <row r="59" spans="1:24" x14ac:dyDescent="0.3">
      <c r="A59" s="5" t="s">
        <v>23</v>
      </c>
      <c r="B59" s="5">
        <v>11</v>
      </c>
      <c r="C59" s="5">
        <v>22</v>
      </c>
      <c r="D59" s="5">
        <v>11</v>
      </c>
      <c r="E59" s="5">
        <v>22</v>
      </c>
      <c r="F59" s="5">
        <v>11</v>
      </c>
      <c r="G59" s="5">
        <v>22</v>
      </c>
      <c r="H59" s="5">
        <v>11</v>
      </c>
      <c r="I59" s="5">
        <v>22</v>
      </c>
      <c r="J59" s="5"/>
      <c r="K59" s="5"/>
      <c r="L59" s="5">
        <v>11</v>
      </c>
      <c r="M59" s="5"/>
      <c r="N59" s="5">
        <v>22</v>
      </c>
      <c r="O59" s="5"/>
      <c r="P59" s="5" t="s">
        <v>24</v>
      </c>
      <c r="Q59" s="5"/>
      <c r="U59" s="1"/>
      <c r="V59" s="1" t="s">
        <v>42</v>
      </c>
      <c r="W59" s="4">
        <v>16.238</v>
      </c>
      <c r="X59" s="4">
        <v>17.12</v>
      </c>
    </row>
    <row r="60" spans="1:24" x14ac:dyDescent="0.3">
      <c r="A60" t="s">
        <v>25</v>
      </c>
      <c r="B60" s="4">
        <v>1.07</v>
      </c>
      <c r="C60" s="4">
        <v>0.99</v>
      </c>
      <c r="D60" s="4">
        <v>1.02</v>
      </c>
      <c r="E60" s="4">
        <v>0.99</v>
      </c>
      <c r="F60" s="4">
        <v>1.08</v>
      </c>
      <c r="G60" s="4">
        <v>1</v>
      </c>
      <c r="H60" s="4">
        <v>1.08</v>
      </c>
      <c r="I60" s="4">
        <v>0.99</v>
      </c>
      <c r="L60" s="4">
        <f>AVERAGE(B60,D60,F60,H60)</f>
        <v>1.0625</v>
      </c>
      <c r="M60" s="4">
        <f>_xlfn.STDEV.S(B60,D60,F60,H60)</f>
        <v>2.8722813232690169E-2</v>
      </c>
      <c r="N60" s="4">
        <f>AVERAGE(C60,E60,G60+I60)</f>
        <v>1.3233333333333333</v>
      </c>
      <c r="O60" s="4">
        <f>_xlfn.STDEV.S(C60,E60,G60,I60)</f>
        <v>5.0000000000000044E-3</v>
      </c>
      <c r="P60" s="4">
        <f>AVERAGE(B60,C60,D60,E60,F60,G60,H60,I60)</f>
        <v>1.0275000000000001</v>
      </c>
      <c r="Q60" s="4">
        <f>_xlfn.STDEV.S(B60,C60,D60,E60,F60,G60,H60,I60)</f>
        <v>4.2003401222826198E-2</v>
      </c>
      <c r="U60" s="1"/>
      <c r="V60" s="1" t="s">
        <v>43</v>
      </c>
      <c r="W60" s="4">
        <v>15.268000000000001</v>
      </c>
      <c r="X60" s="4">
        <v>15.547000000000001</v>
      </c>
    </row>
    <row r="61" spans="1:24" x14ac:dyDescent="0.3">
      <c r="A61" t="s">
        <v>26</v>
      </c>
      <c r="B61" s="4">
        <v>100</v>
      </c>
      <c r="C61" s="4">
        <v>68</v>
      </c>
      <c r="D61" s="4">
        <v>94.03</v>
      </c>
      <c r="E61" s="4">
        <v>64.03</v>
      </c>
      <c r="F61" s="4">
        <v>94</v>
      </c>
      <c r="G61" s="4">
        <v>68</v>
      </c>
      <c r="H61" s="4">
        <v>92.04</v>
      </c>
      <c r="I61" s="4">
        <v>58.04</v>
      </c>
      <c r="L61" s="4">
        <f t="shared" ref="L61:L66" si="16">AVERAGE(B61,D61,F61,H61)</f>
        <v>95.017499999999998</v>
      </c>
      <c r="M61" s="4">
        <f t="shared" ref="M61:M66" si="17">_xlfn.STDEV.S(B61,D61,F61,H61)</f>
        <v>3.4496992622546085</v>
      </c>
      <c r="N61" s="4">
        <f t="shared" ref="N61:N66" si="18">AVERAGE(C61,E61,G61+I61)</f>
        <v>86.023333333333326</v>
      </c>
      <c r="O61" s="4">
        <f t="shared" ref="O61:O66" si="19">_xlfn.STDEV.S(C61,E61,G61,I61)</f>
        <v>4.7064238015716349</v>
      </c>
      <c r="P61" s="4">
        <f t="shared" ref="P61:P66" si="20">AVERAGE(B61,C61,D61,E61,F61,G61,H61,I61)</f>
        <v>79.767499999999984</v>
      </c>
      <c r="Q61" s="4">
        <f t="shared" ref="Q61:Q66" si="21">_xlfn.STDEV.S(B61,C61,D61,E61,F61,G61,H61,I61)</f>
        <v>16.744519572513529</v>
      </c>
      <c r="U61" s="1"/>
      <c r="V61" s="1" t="s">
        <v>44</v>
      </c>
      <c r="W61" s="4">
        <v>16.03</v>
      </c>
      <c r="X61" s="4">
        <v>17.225000000000001</v>
      </c>
    </row>
    <row r="62" spans="1:24" x14ac:dyDescent="0.3">
      <c r="A62" t="s">
        <v>27</v>
      </c>
      <c r="B62" s="4">
        <v>0.11</v>
      </c>
      <c r="C62" s="4">
        <v>0.28999999999999998</v>
      </c>
      <c r="D62" s="4">
        <v>0.09</v>
      </c>
      <c r="E62" s="4">
        <v>0.27</v>
      </c>
      <c r="F62" s="4">
        <v>0.15</v>
      </c>
      <c r="G62" s="4">
        <v>0.26</v>
      </c>
      <c r="H62" s="4">
        <v>0.14000000000000001</v>
      </c>
      <c r="I62" s="4">
        <v>0.28000000000000003</v>
      </c>
      <c r="L62" s="4">
        <f t="shared" si="16"/>
        <v>0.1225</v>
      </c>
      <c r="M62" s="4">
        <f t="shared" si="17"/>
        <v>2.7537852736430592E-2</v>
      </c>
      <c r="N62" s="4">
        <f t="shared" si="18"/>
        <v>0.3666666666666667</v>
      </c>
      <c r="O62" s="4">
        <f t="shared" si="19"/>
        <v>1.2909944487358046E-2</v>
      </c>
      <c r="P62" s="4">
        <f t="shared" si="20"/>
        <v>0.19875000000000001</v>
      </c>
      <c r="Q62" s="4">
        <f t="shared" si="21"/>
        <v>8.3911092404827067E-2</v>
      </c>
    </row>
    <row r="63" spans="1:24" x14ac:dyDescent="0.3">
      <c r="A63" t="s">
        <v>28</v>
      </c>
      <c r="B63" s="4">
        <v>688</v>
      </c>
      <c r="C63" s="4">
        <v>676</v>
      </c>
      <c r="D63" s="4">
        <v>566.03</v>
      </c>
      <c r="E63" s="4">
        <v>456.03</v>
      </c>
      <c r="F63" s="4">
        <v>838</v>
      </c>
      <c r="G63" s="4">
        <v>836</v>
      </c>
      <c r="H63" s="4">
        <v>572.04</v>
      </c>
      <c r="I63" s="4">
        <v>582.04</v>
      </c>
      <c r="L63" s="4">
        <f t="shared" si="16"/>
        <v>666.01749999999993</v>
      </c>
      <c r="M63" s="4">
        <f t="shared" si="17"/>
        <v>127.65902667522855</v>
      </c>
      <c r="N63" s="4">
        <f t="shared" si="18"/>
        <v>850.0233333333332</v>
      </c>
      <c r="O63" s="4">
        <f t="shared" si="19"/>
        <v>160.09546243309575</v>
      </c>
      <c r="P63" s="4">
        <f t="shared" si="20"/>
        <v>651.76750000000004</v>
      </c>
      <c r="Q63" s="4">
        <f t="shared" si="21"/>
        <v>134.91089787072681</v>
      </c>
    </row>
    <row r="64" spans="1:24" x14ac:dyDescent="0.3">
      <c r="A64" t="s">
        <v>29</v>
      </c>
      <c r="B64" s="4">
        <v>1114</v>
      </c>
      <c r="C64" s="4">
        <v>840</v>
      </c>
      <c r="D64" s="4">
        <v>1064.03</v>
      </c>
      <c r="E64" s="4">
        <v>740.03</v>
      </c>
      <c r="F64" s="4">
        <v>1254</v>
      </c>
      <c r="G64" s="4">
        <v>904</v>
      </c>
      <c r="H64" s="4">
        <v>1136.04</v>
      </c>
      <c r="I64" s="4">
        <v>740.04</v>
      </c>
      <c r="L64" s="4">
        <f t="shared" si="16"/>
        <v>1142.0174999999999</v>
      </c>
      <c r="M64" s="4">
        <f t="shared" si="17"/>
        <v>80.504329645471046</v>
      </c>
      <c r="N64" s="4">
        <f t="shared" si="18"/>
        <v>1074.6899999999998</v>
      </c>
      <c r="O64" s="4">
        <f t="shared" si="19"/>
        <v>80.545559105804656</v>
      </c>
      <c r="P64" s="4">
        <f t="shared" si="20"/>
        <v>974.01749999999993</v>
      </c>
      <c r="Q64" s="4">
        <f t="shared" si="21"/>
        <v>194.45807574237872</v>
      </c>
    </row>
    <row r="65" spans="1:24" x14ac:dyDescent="0.3">
      <c r="A65" t="s">
        <v>30</v>
      </c>
      <c r="B65" s="4">
        <v>426</v>
      </c>
      <c r="C65" s="4">
        <v>164</v>
      </c>
      <c r="D65" s="4">
        <v>498</v>
      </c>
      <c r="E65" s="4">
        <v>284</v>
      </c>
      <c r="F65" s="4">
        <v>416</v>
      </c>
      <c r="G65" s="4">
        <v>68</v>
      </c>
      <c r="H65" s="4">
        <v>564</v>
      </c>
      <c r="I65" s="4">
        <v>158</v>
      </c>
      <c r="L65" s="4">
        <f t="shared" si="16"/>
        <v>476</v>
      </c>
      <c r="M65" s="4">
        <f t="shared" si="17"/>
        <v>69.108610172683981</v>
      </c>
      <c r="N65" s="4">
        <f t="shared" si="18"/>
        <v>224.66666666666666</v>
      </c>
      <c r="O65" s="4">
        <f t="shared" si="19"/>
        <v>88.639720216164946</v>
      </c>
      <c r="P65" s="4">
        <f t="shared" si="20"/>
        <v>322.25</v>
      </c>
      <c r="Q65" s="4">
        <f t="shared" si="21"/>
        <v>180.08390901386576</v>
      </c>
    </row>
    <row r="66" spans="1:24" x14ac:dyDescent="0.3">
      <c r="A66" t="s">
        <v>31</v>
      </c>
      <c r="B66" s="4">
        <f>B63-B61</f>
        <v>588</v>
      </c>
      <c r="C66" s="4">
        <f t="shared" ref="C66:I66" si="22">C63-C61</f>
        <v>608</v>
      </c>
      <c r="D66" s="4">
        <f t="shared" si="22"/>
        <v>472</v>
      </c>
      <c r="E66" s="4">
        <f t="shared" si="22"/>
        <v>392</v>
      </c>
      <c r="F66" s="4">
        <f t="shared" si="22"/>
        <v>744</v>
      </c>
      <c r="G66" s="4">
        <f t="shared" si="22"/>
        <v>768</v>
      </c>
      <c r="H66" s="4">
        <f t="shared" si="22"/>
        <v>479.99999999999994</v>
      </c>
      <c r="I66" s="4">
        <f t="shared" si="22"/>
        <v>524</v>
      </c>
      <c r="L66" s="4">
        <f t="shared" si="16"/>
        <v>571</v>
      </c>
      <c r="M66" s="4">
        <f t="shared" si="17"/>
        <v>126.88577540449521</v>
      </c>
      <c r="N66" s="4">
        <f t="shared" si="18"/>
        <v>764</v>
      </c>
      <c r="O66" s="4">
        <f t="shared" si="19"/>
        <v>157.49285698088025</v>
      </c>
      <c r="P66" s="4">
        <f t="shared" si="20"/>
        <v>572</v>
      </c>
      <c r="Q66" s="4">
        <f t="shared" si="21"/>
        <v>132.40630110167933</v>
      </c>
    </row>
    <row r="69" spans="1:24" x14ac:dyDescent="0.3">
      <c r="A69" s="2" t="s">
        <v>0</v>
      </c>
      <c r="B69" s="2" t="s">
        <v>45</v>
      </c>
      <c r="C69" s="3"/>
      <c r="D69" s="3"/>
      <c r="E69" s="3"/>
      <c r="F69" s="3"/>
      <c r="G69" s="3"/>
      <c r="H69" s="3"/>
      <c r="I69" s="3"/>
      <c r="J69" s="3"/>
      <c r="K69" s="3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</row>
    <row r="70" spans="1:24" x14ac:dyDescent="0.3">
      <c r="A70" t="s">
        <v>3</v>
      </c>
      <c r="B70" t="s">
        <v>4</v>
      </c>
      <c r="L70" s="1"/>
      <c r="M70" s="1"/>
      <c r="N70" s="1"/>
      <c r="O70" s="1"/>
      <c r="P70" s="1"/>
      <c r="Q70" s="1"/>
      <c r="W70" s="1" t="s">
        <v>5</v>
      </c>
      <c r="X70" s="1" t="s">
        <v>6</v>
      </c>
    </row>
    <row r="71" spans="1:24" x14ac:dyDescent="0.3">
      <c r="A71" t="s">
        <v>7</v>
      </c>
      <c r="B71" t="s">
        <v>8</v>
      </c>
      <c r="L71" s="1"/>
      <c r="M71" s="1"/>
      <c r="N71" s="1"/>
      <c r="O71" s="1"/>
      <c r="P71" s="1"/>
      <c r="Q71" s="1"/>
      <c r="U71" s="1" t="s">
        <v>9</v>
      </c>
      <c r="V71" s="1" t="s">
        <v>46</v>
      </c>
      <c r="W71" s="4">
        <v>26.427</v>
      </c>
      <c r="X71" s="4">
        <v>24.245999999999999</v>
      </c>
    </row>
    <row r="72" spans="1:24" x14ac:dyDescent="0.3">
      <c r="A72" t="s">
        <v>11</v>
      </c>
      <c r="B72" s="1" t="s">
        <v>47</v>
      </c>
      <c r="L72" s="1"/>
      <c r="M72" s="1"/>
      <c r="N72" s="1"/>
      <c r="O72" s="1"/>
      <c r="P72" s="1"/>
      <c r="Q72" s="1"/>
      <c r="U72" s="1"/>
      <c r="V72" s="1" t="s">
        <v>48</v>
      </c>
      <c r="W72" s="4">
        <v>26.672999999999998</v>
      </c>
      <c r="X72" s="4">
        <v>26.396000000000001</v>
      </c>
    </row>
    <row r="73" spans="1:24" x14ac:dyDescent="0.3">
      <c r="A73" s="1"/>
      <c r="B73" s="1"/>
      <c r="L73" s="1"/>
      <c r="M73" s="1"/>
      <c r="N73" s="1"/>
      <c r="O73" s="1"/>
      <c r="P73" s="1"/>
      <c r="Q73" s="1"/>
      <c r="U73" s="1"/>
      <c r="V73" s="1"/>
      <c r="W73" s="4"/>
      <c r="X73" s="4"/>
    </row>
    <row r="74" spans="1:24" x14ac:dyDescent="0.3">
      <c r="B74" s="1"/>
      <c r="C74" s="1" t="s">
        <v>15</v>
      </c>
      <c r="D74" s="1" t="s">
        <v>5</v>
      </c>
      <c r="E74" s="1" t="s">
        <v>6</v>
      </c>
      <c r="F74" s="1" t="s">
        <v>16</v>
      </c>
      <c r="L74" s="1"/>
      <c r="M74" s="1"/>
      <c r="N74" s="1"/>
      <c r="O74" s="1"/>
      <c r="P74" s="1"/>
      <c r="Q74" s="1"/>
      <c r="U74" s="1" t="s">
        <v>18</v>
      </c>
      <c r="V74" s="1" t="s">
        <v>46</v>
      </c>
      <c r="W74" s="4">
        <v>23.512</v>
      </c>
      <c r="X74" s="4">
        <v>22.670999999999999</v>
      </c>
    </row>
    <row r="75" spans="1:24" x14ac:dyDescent="0.3">
      <c r="A75" t="s">
        <v>17</v>
      </c>
      <c r="B75" t="s">
        <v>46</v>
      </c>
      <c r="C75" s="4">
        <v>4.3</v>
      </c>
      <c r="D75" s="4">
        <v>4.5</v>
      </c>
      <c r="E75" s="4">
        <v>4.5</v>
      </c>
      <c r="F75" s="4">
        <v>4.3</v>
      </c>
      <c r="L75" s="1"/>
      <c r="M75" s="1"/>
      <c r="N75" s="1"/>
      <c r="O75" s="1"/>
      <c r="P75" s="1"/>
      <c r="Q75" s="1"/>
      <c r="U75" s="1"/>
      <c r="V75" s="1" t="s">
        <v>48</v>
      </c>
      <c r="W75" s="4">
        <v>23.355</v>
      </c>
      <c r="X75" s="4">
        <v>22.646000000000001</v>
      </c>
    </row>
    <row r="76" spans="1:24" x14ac:dyDescent="0.3">
      <c r="A76" s="1"/>
      <c r="B76" t="s">
        <v>48</v>
      </c>
      <c r="C76" s="4">
        <v>4.2</v>
      </c>
      <c r="D76" s="4">
        <v>4.3</v>
      </c>
      <c r="E76" s="4">
        <v>4.0999999999999996</v>
      </c>
      <c r="F76" s="4">
        <v>4.2</v>
      </c>
      <c r="L76" s="1"/>
      <c r="M76" s="1"/>
      <c r="N76" s="1"/>
      <c r="O76" s="1"/>
      <c r="P76" s="1"/>
      <c r="Q76" s="1"/>
      <c r="U76" s="1"/>
      <c r="V76" s="1"/>
      <c r="W76" s="4"/>
      <c r="X76" s="4"/>
    </row>
    <row r="77" spans="1:24" x14ac:dyDescent="0.3">
      <c r="A77" s="1"/>
      <c r="L77" s="1"/>
      <c r="M77" s="1"/>
      <c r="N77" s="1"/>
      <c r="O77" s="1"/>
      <c r="P77" s="1"/>
      <c r="Q77" s="1"/>
      <c r="U77" s="1" t="s">
        <v>19</v>
      </c>
      <c r="V77" s="1" t="s">
        <v>46</v>
      </c>
      <c r="W77" s="4">
        <v>21.478000000000002</v>
      </c>
      <c r="X77" s="4">
        <v>19.872</v>
      </c>
    </row>
    <row r="78" spans="1:24" x14ac:dyDescent="0.3">
      <c r="A78" s="1"/>
      <c r="L78" s="1"/>
      <c r="M78" s="1"/>
      <c r="N78" s="1"/>
      <c r="O78" s="1"/>
      <c r="P78" s="1"/>
      <c r="Q78" s="1"/>
      <c r="U78" s="1"/>
      <c r="V78" s="1" t="s">
        <v>48</v>
      </c>
      <c r="W78" s="4">
        <v>21.388999999999999</v>
      </c>
      <c r="X78" s="4">
        <v>19.878</v>
      </c>
    </row>
    <row r="79" spans="1:24" x14ac:dyDescent="0.3">
      <c r="A79" s="1"/>
      <c r="B79" s="1"/>
      <c r="L79" s="1" t="s">
        <v>45</v>
      </c>
      <c r="M79" s="1" t="s">
        <v>45</v>
      </c>
      <c r="N79" s="1" t="s">
        <v>45</v>
      </c>
      <c r="O79" s="1" t="s">
        <v>45</v>
      </c>
      <c r="P79" s="1" t="s">
        <v>45</v>
      </c>
      <c r="Q79" s="1" t="s">
        <v>45</v>
      </c>
    </row>
    <row r="80" spans="1:24" x14ac:dyDescent="0.3">
      <c r="A80" t="s">
        <v>20</v>
      </c>
      <c r="B80" t="s">
        <v>46</v>
      </c>
      <c r="D80" t="s">
        <v>48</v>
      </c>
      <c r="L80" t="s">
        <v>21</v>
      </c>
      <c r="M80" t="s">
        <v>22</v>
      </c>
      <c r="N80" t="s">
        <v>21</v>
      </c>
      <c r="O80" t="s">
        <v>22</v>
      </c>
      <c r="P80" t="s">
        <v>21</v>
      </c>
      <c r="Q80" t="s">
        <v>22</v>
      </c>
    </row>
    <row r="81" spans="1:17" x14ac:dyDescent="0.3">
      <c r="A81" s="5" t="s">
        <v>23</v>
      </c>
      <c r="B81" s="5">
        <v>11</v>
      </c>
      <c r="C81" s="5">
        <v>22</v>
      </c>
      <c r="D81" s="5">
        <v>11</v>
      </c>
      <c r="E81" s="5">
        <v>22</v>
      </c>
      <c r="F81" s="5"/>
      <c r="G81" s="5"/>
      <c r="H81" s="5"/>
      <c r="I81" s="5"/>
      <c r="J81" s="5"/>
      <c r="K81" s="5"/>
      <c r="L81" s="5">
        <v>11</v>
      </c>
      <c r="M81" s="5"/>
      <c r="N81" s="5">
        <v>22</v>
      </c>
      <c r="O81" s="5"/>
      <c r="P81" s="5" t="s">
        <v>24</v>
      </c>
      <c r="Q81" s="5"/>
    </row>
    <row r="82" spans="1:17" x14ac:dyDescent="0.3">
      <c r="A82" t="s">
        <v>25</v>
      </c>
      <c r="B82" s="4">
        <v>0.36</v>
      </c>
      <c r="C82" s="4">
        <v>0.14000000000000001</v>
      </c>
      <c r="D82" s="4">
        <v>0.28999999999999998</v>
      </c>
      <c r="E82" s="4">
        <v>0.12</v>
      </c>
      <c r="L82" s="4">
        <f>AVERAGE(B82,D82)</f>
        <v>0.32499999999999996</v>
      </c>
      <c r="M82" s="4">
        <f>_xlfn.STDEV.S(B82,D82)</f>
        <v>4.9497474683058963E-2</v>
      </c>
      <c r="N82" s="4">
        <f>AVERAGE(C82,E82)</f>
        <v>0.13</v>
      </c>
      <c r="O82" s="4">
        <f>_xlfn.STDEV.S(C82,E82)</f>
        <v>1.4142135623730963E-2</v>
      </c>
      <c r="P82" s="4">
        <f>AVERAGE(B82,C82,D82,E82)</f>
        <v>0.22750000000000001</v>
      </c>
      <c r="Q82" s="4">
        <f>_xlfn.STDEV.S(B82,C82,D82,E82)</f>
        <v>0.1164402564980571</v>
      </c>
    </row>
    <row r="83" spans="1:17" x14ac:dyDescent="0.3">
      <c r="A83" t="s">
        <v>26</v>
      </c>
      <c r="B83" s="4">
        <v>84</v>
      </c>
      <c r="C83" s="4">
        <v>134</v>
      </c>
      <c r="D83" s="4">
        <v>54</v>
      </c>
      <c r="E83" s="4">
        <v>48</v>
      </c>
      <c r="L83" s="4">
        <f t="shared" ref="L83:L88" si="23">AVERAGE(B83,D83)</f>
        <v>69</v>
      </c>
      <c r="M83" s="4">
        <f t="shared" ref="M83:M88" si="24">_xlfn.STDEV.S(B83,D83)</f>
        <v>21.213203435596427</v>
      </c>
      <c r="N83" s="4">
        <f t="shared" ref="N83:N88" si="25">AVERAGE(C83,E83)</f>
        <v>91</v>
      </c>
      <c r="O83" s="4">
        <f t="shared" ref="O83:O88" si="26">_xlfn.STDEV.S(C83,E83)</f>
        <v>60.811183182043088</v>
      </c>
      <c r="P83" s="4">
        <f t="shared" ref="P83:P88" si="27">AVERAGE(B83,C83,D83,E83)</f>
        <v>80</v>
      </c>
      <c r="Q83" s="4">
        <f t="shared" ref="Q83:Q88" si="28">_xlfn.STDEV.S(B83,C83,D83,E83)</f>
        <v>39.293765408776999</v>
      </c>
    </row>
    <row r="84" spans="1:17" x14ac:dyDescent="0.3">
      <c r="A84" t="s">
        <v>27</v>
      </c>
      <c r="B84" s="4">
        <v>0.09</v>
      </c>
      <c r="C84" s="4">
        <v>0.22</v>
      </c>
      <c r="D84" s="4">
        <v>0.15</v>
      </c>
      <c r="E84" s="4">
        <v>0.02</v>
      </c>
      <c r="L84" s="4">
        <f t="shared" si="23"/>
        <v>0.12</v>
      </c>
      <c r="M84" s="4">
        <f t="shared" si="24"/>
        <v>4.2426406871192847E-2</v>
      </c>
      <c r="N84" s="4">
        <f t="shared" si="25"/>
        <v>0.12</v>
      </c>
      <c r="O84" s="4">
        <f t="shared" si="26"/>
        <v>0.1414213562373095</v>
      </c>
      <c r="P84" s="4">
        <f t="shared" si="27"/>
        <v>0.12</v>
      </c>
      <c r="Q84" s="4">
        <f t="shared" si="28"/>
        <v>8.5244745683629455E-2</v>
      </c>
    </row>
    <row r="85" spans="1:17" x14ac:dyDescent="0.3">
      <c r="A85" t="s">
        <v>28</v>
      </c>
      <c r="B85" s="4">
        <v>568</v>
      </c>
      <c r="C85" s="4">
        <v>416</v>
      </c>
      <c r="D85" s="4">
        <v>572</v>
      </c>
      <c r="E85" s="4">
        <v>388</v>
      </c>
      <c r="L85" s="4">
        <f t="shared" si="23"/>
        <v>570</v>
      </c>
      <c r="M85" s="4">
        <f t="shared" si="24"/>
        <v>2.8284271247461903</v>
      </c>
      <c r="N85" s="4">
        <f t="shared" si="25"/>
        <v>402</v>
      </c>
      <c r="O85" s="4">
        <f t="shared" si="26"/>
        <v>19.798989873223331</v>
      </c>
      <c r="P85" s="4">
        <f t="shared" si="27"/>
        <v>486</v>
      </c>
      <c r="Q85" s="4">
        <f t="shared" si="28"/>
        <v>97.67974883942594</v>
      </c>
    </row>
    <row r="86" spans="1:17" x14ac:dyDescent="0.3">
      <c r="A86" t="s">
        <v>29</v>
      </c>
      <c r="B86" s="4">
        <v>924</v>
      </c>
      <c r="C86" s="4">
        <v>740</v>
      </c>
      <c r="D86" s="4">
        <v>909</v>
      </c>
      <c r="E86" s="4">
        <v>717</v>
      </c>
      <c r="L86" s="4">
        <f t="shared" si="23"/>
        <v>916.5</v>
      </c>
      <c r="M86" s="4">
        <f t="shared" si="24"/>
        <v>10.606601717798213</v>
      </c>
      <c r="N86" s="4">
        <f t="shared" si="25"/>
        <v>728.5</v>
      </c>
      <c r="O86" s="4">
        <f t="shared" si="26"/>
        <v>16.263455967290593</v>
      </c>
      <c r="P86" s="4">
        <f t="shared" si="27"/>
        <v>822.5</v>
      </c>
      <c r="Q86" s="4">
        <f t="shared" si="28"/>
        <v>109.11920087683927</v>
      </c>
    </row>
    <row r="87" spans="1:17" x14ac:dyDescent="0.3">
      <c r="A87" t="s">
        <v>30</v>
      </c>
      <c r="B87" s="4">
        <v>356</v>
      </c>
      <c r="C87" s="4">
        <v>324</v>
      </c>
      <c r="D87" s="4">
        <v>337</v>
      </c>
      <c r="E87" s="4">
        <v>329</v>
      </c>
      <c r="L87" s="4">
        <f t="shared" si="23"/>
        <v>346.5</v>
      </c>
      <c r="M87" s="4">
        <f t="shared" si="24"/>
        <v>13.435028842544403</v>
      </c>
      <c r="N87" s="4">
        <f t="shared" si="25"/>
        <v>326.5</v>
      </c>
      <c r="O87" s="4">
        <f t="shared" si="26"/>
        <v>3.5355339059327378</v>
      </c>
      <c r="P87" s="4">
        <f t="shared" si="27"/>
        <v>336.5</v>
      </c>
      <c r="Q87" s="4">
        <f t="shared" si="28"/>
        <v>14.059397805975427</v>
      </c>
    </row>
    <row r="88" spans="1:17" x14ac:dyDescent="0.3">
      <c r="A88" t="s">
        <v>31</v>
      </c>
      <c r="B88" s="4">
        <f>B85-B83</f>
        <v>484</v>
      </c>
      <c r="C88" s="4">
        <f t="shared" ref="C88:E88" si="29">C85-C83</f>
        <v>282</v>
      </c>
      <c r="D88" s="4">
        <f t="shared" si="29"/>
        <v>518</v>
      </c>
      <c r="E88" s="4">
        <f t="shared" si="29"/>
        <v>340</v>
      </c>
      <c r="L88" s="4">
        <f t="shared" si="23"/>
        <v>501</v>
      </c>
      <c r="M88" s="4">
        <f t="shared" si="24"/>
        <v>24.041630560342615</v>
      </c>
      <c r="N88" s="4">
        <f t="shared" si="25"/>
        <v>311</v>
      </c>
      <c r="O88" s="4">
        <f t="shared" si="26"/>
        <v>41.012193308819754</v>
      </c>
      <c r="P88" s="4">
        <f t="shared" si="27"/>
        <v>406</v>
      </c>
      <c r="Q88" s="4">
        <f t="shared" si="28"/>
        <v>113.07814407155198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2026-06-16T14:33:01Z</dcterms:created>
  <dcterms:modified xsi:type="dcterms:W3CDTF">2026-06-17T12:32:55Z</dcterms:modified>
</cp:coreProperties>
</file>