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Detected Product By Zone" sheetId="15" state="visible" r:id="rId15"/>
    <sheet xmlns:r="http://schemas.openxmlformats.org/officeDocument/2006/relationships" name="Detected Product Delta" sheetId="16" state="visible" r:id="rId16"/>
    <sheet xmlns:r="http://schemas.openxmlformats.org/officeDocument/2006/relationships" name="Alignment Path Sample" sheetId="17" state="visible" r:id="rId17"/>
    <sheet xmlns:r="http://schemas.openxmlformats.org/officeDocument/2006/relationships" name="Reference Pattern" sheetId="18" state="visible" r:id="rId18"/>
    <sheet xmlns:r="http://schemas.openxmlformats.org/officeDocument/2006/relationships" name="Comparison Pattern" sheetId="19" state="visible" r:id="rId19"/>
  </sheets>
  <definedNames>
    <definedName name="_xlnm._FilterDatabase" localSheetId="0" hidden="1">'Read Me'!$A$1:$B$9</definedName>
    <definedName name="_xlnm._FilterDatabase" localSheetId="1" hidden="1">'Summary'!$A$1:$B$13</definedName>
    <definedName name="_xlnm._FilterDatabase" localSheetId="2" hidden="1">'Zone Definitions'!$A$1:$D$13</definedName>
    <definedName name="_xlnm._FilterDatabase" localSheetId="3" hidden="1">'Zone Findings'!$A$1:$K$13</definedName>
    <definedName name="_xlnm._FilterDatabase" localSheetId="4" hidden="1">'Detected Zones'!$A$1:$G$25</definedName>
    <definedName name="_xlnm._FilterDatabase" localSheetId="5" hidden="1">'Detected Duration'!$A$1:$D$13</definedName>
    <definedName name="_xlnm._FilterDatabase" localSheetId="6" hidden="1">'Zone Duration'!$A$1:$D$13</definedName>
    <definedName name="_xlnm._FilterDatabase" localSheetId="7" hidden="1">'Mechanical By Zone'!$A$1:$W$13</definedName>
    <definedName name="_xlnm._FilterDatabase" localSheetId="8" hidden="1">'Product Temp By Zone'!$A$1:$H$145</definedName>
    <definedName name="_xlnm._FilterDatabase" localSheetId="9" hidden="1">'Product Delta By Zone'!$A$1:$E$73</definedName>
    <definedName name="_xlnm._FilterDatabase" localSheetId="10" hidden="1">'Old Hotspots By Zone'!$A$1:$H$121</definedName>
    <definedName name="_xlnm._FilterDatabase" localSheetId="11" hidden="1">'Hotspot Summary'!$A$1:$S$25</definedName>
    <definedName name="_xlnm._FilterDatabase" localSheetId="12" hidden="1">'Hotspot Sensor Data'!$A$1:$G$121</definedName>
    <definedName name="_xlnm._FilterDatabase" localSheetId="13" hidden="1">'Hotspot Delta Matrix'!$A$1:$G$25</definedName>
    <definedName name="_xlnm._FilterDatabase" localSheetId="14" hidden="1">'Detected Product By Zone'!$A$1:$H$145</definedName>
    <definedName name="_xlnm._FilterDatabase" localSheetId="15" hidden="1">'Detected Product Delta'!$A$1:$E$73</definedName>
    <definedName name="_xlnm._FilterDatabase" localSheetId="16" hidden="1">'Alignment Path Sample'!$A$1:$F$537</definedName>
    <definedName name="_xlnm._FilterDatabase" localSheetId="17" hidden="1">'Reference Pattern'!$A$1:$E$936</definedName>
    <definedName name="_xlnm._FilterDatabase" localSheetId="18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260604_aasted3_2291-4160.csv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gyroy_mean, gyroy_std_median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gyroy_mean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no large zone-level IMU difference by this summary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gyroy_std_median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no large zone-level IMU difference by this summary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no large zone-level IMU difference by this summary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1" customWidth="1" min="11" max="11"/>
    <col width="22" customWidth="1" min="12" max="12"/>
    <col width="24" customWidth="1" min="13" max="13"/>
    <col width="27" customWidth="1" min="14" max="14"/>
    <col width="28" customWidth="1" min="15" max="15"/>
    <col width="24" customWidth="1" min="16" max="16"/>
    <col width="22" customWidth="1" min="17" max="17"/>
    <col width="23" customWidth="1" min="18" max="18"/>
    <col width="21" customWidth="1" min="19" max="19"/>
    <col width="28" customWidth="1" min="20" max="20"/>
    <col width="29" customWidth="1" min="21" max="21"/>
    <col width="24" customWidth="1" min="22" max="22"/>
    <col width="34" customWidth="1" min="23" max="23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reference_accz_mean</t>
        </is>
      </c>
      <c r="L1" s="2" t="inlineStr">
        <is>
          <t>comparison_accz_mean</t>
        </is>
      </c>
      <c r="M1" s="2" t="inlineStr">
        <is>
          <t>delta_accz_mean</t>
        </is>
      </c>
      <c r="N1" s="2" t="inlineStr">
        <is>
          <t>reference_accz_std_median</t>
        </is>
      </c>
      <c r="O1" s="2" t="inlineStr">
        <is>
          <t>comparison_accz_std_median</t>
        </is>
      </c>
      <c r="P1" s="2" t="inlineStr">
        <is>
          <t>delta_accz_std_median</t>
        </is>
      </c>
      <c r="Q1" s="2" t="inlineStr">
        <is>
          <t>reference_gyroy_mean</t>
        </is>
      </c>
      <c r="R1" s="2" t="inlineStr">
        <is>
          <t>comparison_gyroy_mean</t>
        </is>
      </c>
      <c r="S1" s="2" t="inlineStr">
        <is>
          <t>delta_gyroy_mean</t>
        </is>
      </c>
      <c r="T1" s="2" t="inlineStr">
        <is>
          <t>reference_gyroy_std_median</t>
        </is>
      </c>
      <c r="U1" s="2" t="inlineStr">
        <is>
          <t>comparison_gyroy_std_median</t>
        </is>
      </c>
      <c r="V1" s="2" t="inlineStr">
        <is>
          <t>delta_gyroy_std_median</t>
        </is>
      </c>
      <c r="W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0.4479989115397135</v>
      </c>
      <c r="L2" s="4" t="n">
        <v>-1.06109563009634</v>
      </c>
      <c r="M2" s="4" t="n">
        <v>-1.509094541636054</v>
      </c>
      <c r="N2" s="4" t="n">
        <v>0.0458989215249313</v>
      </c>
      <c r="O2" s="4" t="n">
        <v>0.006430887205384256</v>
      </c>
      <c r="P2" s="4" t="n">
        <v>-0.03946803431954705</v>
      </c>
      <c r="Q2" s="4" t="n">
        <v>-0.7421609115600586</v>
      </c>
      <c r="R2" s="4" t="n">
        <v>1.491703783556254</v>
      </c>
      <c r="S2" s="4" t="n">
        <v>2.233864695116313</v>
      </c>
      <c r="T2" s="4" t="n">
        <v>0.2466633309816629</v>
      </c>
      <c r="U2" s="4" t="n">
        <v>0.01993700566461322</v>
      </c>
      <c r="V2" s="4" t="n">
        <v>-0.2267263253170497</v>
      </c>
      <c r="W2" s="3" t="inlineStr">
        <is>
          <t>T8_mean_C, T8_min_C, T8_max_C, accz_mean, gyroy_mean, gyroy_std_median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0.9334113332203456</v>
      </c>
      <c r="L3" s="4" t="n">
        <v>0.6354914671569223</v>
      </c>
      <c r="M3" s="4" t="n">
        <v>-0.2979198660634234</v>
      </c>
      <c r="N3" s="4" t="n">
        <v>0.0344609939392355</v>
      </c>
      <c r="O3" s="4" t="n">
        <v>0.03260140116998068</v>
      </c>
      <c r="P3" s="4" t="n">
        <v>-0.001859592769254827</v>
      </c>
      <c r="Q3" s="4" t="n">
        <v>1.417432697614034</v>
      </c>
      <c r="R3" s="4" t="n">
        <v>2.190627949883767</v>
      </c>
      <c r="S3" s="4" t="n">
        <v>0.773195252269733</v>
      </c>
      <c r="T3" s="4" t="n">
        <v>0.04885023437722506</v>
      </c>
      <c r="U3" s="4" t="n">
        <v>0.05637214130170413</v>
      </c>
      <c r="V3" s="4" t="n">
        <v>0.007521906924479065</v>
      </c>
      <c r="W3" s="3" t="inlineStr">
        <is>
          <t>T8_mean_C, T8_min_C, gyroy_mean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0.4855458738942626</v>
      </c>
      <c r="L4" s="4" t="n">
        <v>0.4839371874929151</v>
      </c>
      <c r="M4" s="4" t="n">
        <v>-0.001608686401347426</v>
      </c>
      <c r="N4" s="4" t="n">
        <v>0.05183596825624944</v>
      </c>
      <c r="O4" s="4" t="n">
        <v>0.04525963755913362</v>
      </c>
      <c r="P4" s="4" t="n">
        <v>-0.006576330697115822</v>
      </c>
      <c r="Q4" s="4" t="n">
        <v>1.144826223820816</v>
      </c>
      <c r="R4" s="4" t="n">
        <v>1.770918267633671</v>
      </c>
      <c r="S4" s="4" t="n">
        <v>0.6260920438128554</v>
      </c>
      <c r="T4" s="4" t="n">
        <v>0.2945459374931652</v>
      </c>
      <c r="U4" s="4" t="n">
        <v>0.2723370010664009</v>
      </c>
      <c r="V4" s="4" t="n">
        <v>-0.02220893642676425</v>
      </c>
      <c r="W4" s="3" t="inlineStr">
        <is>
          <t>gyroy_mean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0.5903527134747925</v>
      </c>
      <c r="L5" s="4" t="n">
        <v>0.6203194993400953</v>
      </c>
      <c r="M5" s="4" t="n">
        <v>0.02996678586530288</v>
      </c>
      <c r="N5" s="4" t="n">
        <v>0.5759892082408165</v>
      </c>
      <c r="O5" s="4" t="n">
        <v>0.5816952614758941</v>
      </c>
      <c r="P5" s="4" t="n">
        <v>0.005706053235077668</v>
      </c>
      <c r="Q5" s="4" t="n">
        <v>1.340757338872878</v>
      </c>
      <c r="R5" s="4" t="n">
        <v>1.776885301582464</v>
      </c>
      <c r="S5" s="4" t="n">
        <v>0.4361279627095853</v>
      </c>
      <c r="T5" s="4" t="n">
        <v>2.149889152497679</v>
      </c>
      <c r="U5" s="4" t="n">
        <v>2.099022653573709</v>
      </c>
      <c r="V5" s="4" t="n">
        <v>-0.05086649892397022</v>
      </c>
      <c r="W5" s="3" t="inlineStr"/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0.9406028034922842</v>
      </c>
      <c r="L6" s="4" t="n">
        <v>0.935967586085404</v>
      </c>
      <c r="M6" s="4" t="n">
        <v>-0.004635217406880221</v>
      </c>
      <c r="N6" s="4" t="n">
        <v>0.04417926639954546</v>
      </c>
      <c r="O6" s="4" t="n">
        <v>0.03269971911168738</v>
      </c>
      <c r="P6" s="4" t="n">
        <v>-0.01147954728785808</v>
      </c>
      <c r="Q6" s="4" t="n">
        <v>1.342341838738857</v>
      </c>
      <c r="R6" s="4" t="n">
        <v>1.748856511626153</v>
      </c>
      <c r="S6" s="4" t="n">
        <v>0.4065146728872957</v>
      </c>
      <c r="T6" s="4" t="n">
        <v>0.08424161326249768</v>
      </c>
      <c r="U6" s="4" t="n">
        <v>0.02618349104404665</v>
      </c>
      <c r="V6" s="4" t="n">
        <v>-0.05805812221845104</v>
      </c>
      <c r="W6" s="3" t="inlineStr">
        <is>
          <t>gyroy_std_median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0.9419387255125846</v>
      </c>
      <c r="L7" s="4" t="n">
        <v>0.9366707991652153</v>
      </c>
      <c r="M7" s="4" t="n">
        <v>-0.005267926347369278</v>
      </c>
      <c r="N7" s="4" t="n">
        <v>0.02454215629180911</v>
      </c>
      <c r="O7" s="4" t="n">
        <v>0.02685181189950401</v>
      </c>
      <c r="P7" s="4" t="n">
        <v>0.002309655607694902</v>
      </c>
      <c r="Q7" s="4" t="n">
        <v>1.322847378559601</v>
      </c>
      <c r="R7" s="4" t="n">
        <v>1.713002873509434</v>
      </c>
      <c r="S7" s="4" t="n">
        <v>0.3901554949498331</v>
      </c>
      <c r="T7" s="4" t="n">
        <v>0.02346747031490767</v>
      </c>
      <c r="U7" s="4" t="n">
        <v>0.02679228853442933</v>
      </c>
      <c r="V7" s="4" t="n">
        <v>0.003324818219521665</v>
      </c>
      <c r="W7" s="3" t="inlineStr"/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0.943651310786931</v>
      </c>
      <c r="L8" s="4" t="n">
        <v>0.9359411638968699</v>
      </c>
      <c r="M8" s="4" t="n">
        <v>-0.007710146890061109</v>
      </c>
      <c r="N8" s="4" t="n">
        <v>0.02332897441945894</v>
      </c>
      <c r="O8" s="4" t="n">
        <v>0.02418212651025067</v>
      </c>
      <c r="P8" s="4" t="n">
        <v>0.0008531520907917312</v>
      </c>
      <c r="Q8" s="4" t="n">
        <v>1.176921271484756</v>
      </c>
      <c r="R8" s="4" t="n">
        <v>1.493394981868313</v>
      </c>
      <c r="S8" s="4" t="n">
        <v>0.3164737103835573</v>
      </c>
      <c r="T8" s="4" t="n">
        <v>0.03112052335302486</v>
      </c>
      <c r="U8" s="4" t="n">
        <v>0.02723946575566247</v>
      </c>
      <c r="V8" s="4" t="n">
        <v>-0.003881057597362392</v>
      </c>
      <c r="W8" s="3" t="inlineStr"/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0.9425747375692959</v>
      </c>
      <c r="L9" s="4" t="n">
        <v>0.9362846549565206</v>
      </c>
      <c r="M9" s="4" t="n">
        <v>-0.006290082612775305</v>
      </c>
      <c r="N9" s="4" t="n">
        <v>0.01605324462269583</v>
      </c>
      <c r="O9" s="4" t="n">
        <v>0.01827474818511866</v>
      </c>
      <c r="P9" s="4" t="n">
        <v>0.00222150356242283</v>
      </c>
      <c r="Q9" s="4" t="n">
        <v>1.001740930225927</v>
      </c>
      <c r="R9" s="4" t="n">
        <v>1.213994533092508</v>
      </c>
      <c r="S9" s="4" t="n">
        <v>0.2122536028665809</v>
      </c>
      <c r="T9" s="4" t="n">
        <v>0.02682928526625366</v>
      </c>
      <c r="U9" s="4" t="n">
        <v>0.02497120417338136</v>
      </c>
      <c r="V9" s="4" t="n">
        <v>-0.001858081092872301</v>
      </c>
      <c r="W9" s="3" t="inlineStr">
        <is>
          <t>T8_min_C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0.9449058044693869</v>
      </c>
      <c r="L10" s="4" t="n">
        <v>0.9373550248580094</v>
      </c>
      <c r="M10" s="4" t="n">
        <v>-0.007550779611377512</v>
      </c>
      <c r="N10" s="4" t="n">
        <v>0.0131511338444699</v>
      </c>
      <c r="O10" s="4" t="n">
        <v>0.01404737125929091</v>
      </c>
      <c r="P10" s="4" t="n">
        <v>0.0008962374148210085</v>
      </c>
      <c r="Q10" s="4" t="n">
        <v>0.9077637041386086</v>
      </c>
      <c r="R10" s="4" t="n">
        <v>1.075494071774744</v>
      </c>
      <c r="S10" s="4" t="n">
        <v>0.1677303676361355</v>
      </c>
      <c r="T10" s="4" t="n">
        <v>0.02468975552314372</v>
      </c>
      <c r="U10" s="4" t="n">
        <v>0.02163579903934808</v>
      </c>
      <c r="V10" s="4" t="n">
        <v>-0.003053956483795636</v>
      </c>
      <c r="W10" s="3" t="inlineStr">
        <is>
          <t>T8_min_C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0.9451382097658778</v>
      </c>
      <c r="L11" s="4" t="n">
        <v>0.9389342273817892</v>
      </c>
      <c r="M11" s="4" t="n">
        <v>-0.006203982384088591</v>
      </c>
      <c r="N11" s="4" t="n">
        <v>0.01636039057408493</v>
      </c>
      <c r="O11" s="4" t="n">
        <v>0.01817118277416295</v>
      </c>
      <c r="P11" s="4" t="n">
        <v>0.001810792200078022</v>
      </c>
      <c r="Q11" s="4" t="n">
        <v>0.8008448931734464</v>
      </c>
      <c r="R11" s="4" t="n">
        <v>0.8515668553982848</v>
      </c>
      <c r="S11" s="4" t="n">
        <v>0.05072196222483838</v>
      </c>
      <c r="T11" s="4" t="n">
        <v>0.02675604522289794</v>
      </c>
      <c r="U11" s="4" t="n">
        <v>0.02268911010018926</v>
      </c>
      <c r="V11" s="4" t="n">
        <v>-0.004066935122708674</v>
      </c>
      <c r="W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0.9456508518646121</v>
      </c>
      <c r="L12" s="4" t="n">
        <v>0.9398903078686907</v>
      </c>
      <c r="M12" s="4" t="n">
        <v>-0.005760543995921408</v>
      </c>
      <c r="N12" s="4" t="n">
        <v>0.03891405582841959</v>
      </c>
      <c r="O12" s="4" t="n">
        <v>0.03112179268867234</v>
      </c>
      <c r="P12" s="4" t="n">
        <v>-0.007792263139747249</v>
      </c>
      <c r="Q12" s="4" t="n">
        <v>0.7264109474044662</v>
      </c>
      <c r="R12" s="4" t="n">
        <v>0.7994880845133382</v>
      </c>
      <c r="S12" s="4" t="n">
        <v>0.07307713710887198</v>
      </c>
      <c r="T12" s="4" t="n">
        <v>0.4065220235739825</v>
      </c>
      <c r="U12" s="4" t="n">
        <v>0.2002844024758982</v>
      </c>
      <c r="V12" s="4" t="n">
        <v>-0.2062376210980843</v>
      </c>
      <c r="W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-0.2567680938443899</v>
      </c>
      <c r="L13" s="4" t="n">
        <v>-0.4065257448241751</v>
      </c>
      <c r="M13" s="4" t="n">
        <v>-0.1497576509797852</v>
      </c>
      <c r="N13" s="4" t="n">
        <v>0.1761245312328704</v>
      </c>
      <c r="O13" s="4" t="n">
        <v>0.285402521591819</v>
      </c>
      <c r="P13" s="4" t="n">
        <v>0.1092779903589486</v>
      </c>
      <c r="Q13" s="4" t="n">
        <v>0.7799816131591797</v>
      </c>
      <c r="R13" s="4" t="n">
        <v>0.867163162534527</v>
      </c>
      <c r="S13" s="4" t="n">
        <v>0.08718154937534728</v>
      </c>
      <c r="T13" s="4" t="n">
        <v>1.215024831089745</v>
      </c>
      <c r="U13" s="4" t="n">
        <v>1.316972123579633</v>
      </c>
      <c r="V13" s="4" t="n">
        <v>0.1019472924898879</v>
      </c>
      <c r="W13" s="3" t="inlineStr">
        <is>
          <t>T8_mean_C, T8_min_C, accz_mean, accz_std_median</t>
        </is>
      </c>
    </row>
  </sheetData>
  <autoFilter ref="A1:W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2026-06-24T08:57:31Z</dcterms:created>
  <dcterms:modified xmlns:dcterms="http://purl.org/dc/terms/" xmlns:xsi="http://www.w3.org/2001/XMLSchema-instance" xsi:type="dcterms:W3CDTF">2026-06-24T08:57:32Z</dcterms:modified>
</cp:coreProperties>
</file>